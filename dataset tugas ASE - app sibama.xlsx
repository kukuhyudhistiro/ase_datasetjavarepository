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1/Documents/dataset tugas metrics/"/>
    </mc:Choice>
  </mc:AlternateContent>
  <xr:revisionPtr revIDLastSave="0" documentId="13_ncr:1_{309717FE-FFAB-464E-A5D5-D1666E07949B}" xr6:coauthVersionLast="47" xr6:coauthVersionMax="47" xr10:uidLastSave="{00000000-0000-0000-0000-000000000000}"/>
  <bookViews>
    <workbookView xWindow="100" yWindow="520" windowWidth="28620" windowHeight="16300" xr2:uid="{54DB6114-0CB2-1247-BE62-58EA3148E79B}"/>
  </bookViews>
  <sheets>
    <sheet name="filename" sheetId="4" r:id="rId1"/>
    <sheet name="metrics" sheetId="6" r:id="rId2"/>
    <sheet name="dataset" sheetId="5" r:id="rId3"/>
    <sheet name="datasetsimple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4" i="5" l="1"/>
  <c r="AK33" i="5"/>
  <c r="AK32" i="5"/>
  <c r="AK31" i="5"/>
  <c r="AK30" i="5"/>
  <c r="AK29" i="5"/>
  <c r="AK28" i="5"/>
  <c r="AK27" i="5"/>
  <c r="AK26" i="5"/>
  <c r="AK25" i="5"/>
  <c r="AK24" i="5"/>
  <c r="AK23" i="5"/>
  <c r="AK22" i="5"/>
  <c r="AK21" i="5"/>
  <c r="AK20" i="5"/>
  <c r="AK19" i="5"/>
  <c r="AK18" i="5"/>
  <c r="AK17" i="5"/>
  <c r="AK16" i="5"/>
  <c r="AK15" i="5"/>
  <c r="AK14" i="5"/>
  <c r="AK13" i="5"/>
  <c r="AK12" i="5"/>
  <c r="AK11" i="5"/>
  <c r="AK10" i="5"/>
  <c r="AK9" i="5"/>
  <c r="AK8" i="5"/>
  <c r="AK7" i="5"/>
  <c r="AK6" i="5"/>
  <c r="AK5" i="5"/>
  <c r="AK4" i="5"/>
  <c r="AK3" i="5"/>
  <c r="AK2" i="5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2" i="8"/>
</calcChain>
</file>

<file path=xl/sharedStrings.xml><?xml version="1.0" encoding="utf-8"?>
<sst xmlns="http://schemas.openxmlformats.org/spreadsheetml/2006/main" count="310" uniqueCount="140">
  <si>
    <t>CariDataDetil.java</t>
  </si>
  <si>
    <t>CariDataDetilSekunder.java</t>
  </si>
  <si>
    <t>CariDataDrainase.java</t>
  </si>
  <si>
    <t>ConnectivityReceiver.java</t>
  </si>
  <si>
    <t>Drainase2020.java</t>
  </si>
  <si>
    <t>Drainase2020CariDataDetil.java</t>
  </si>
  <si>
    <t>Drainase2020ImageViewer.java</t>
  </si>
  <si>
    <t>Drainase2021.java</t>
  </si>
  <si>
    <t>Drainase2021CariDataDetil.java</t>
  </si>
  <si>
    <t>Drainase2021ImageViewer.java</t>
  </si>
  <si>
    <t>Drainase2022.java</t>
  </si>
  <si>
    <t>Drainase2022CariDataDetil.java</t>
  </si>
  <si>
    <t>DrainaseBlimbing.java</t>
  </si>
  <si>
    <t>DrainaseKdKandang.java</t>
  </si>
  <si>
    <t>DrainaseKlojen.java</t>
  </si>
  <si>
    <t>DrainaseLowokwaru.java</t>
  </si>
  <si>
    <t>DrainaseSukun.java</t>
  </si>
  <si>
    <t>Feedback.java</t>
  </si>
  <si>
    <t>ImageViewer.java</t>
  </si>
  <si>
    <t>ImageViewerSekunder.java</t>
  </si>
  <si>
    <t>ListCariDrainase.java</t>
  </si>
  <si>
    <t>ListDrainase.java</t>
  </si>
  <si>
    <t>Maps.java</t>
  </si>
  <si>
    <t>MyApplication.java</t>
  </si>
  <si>
    <t>MyKmlStyler.java</t>
  </si>
  <si>
    <t>RequestHandler.java</t>
  </si>
  <si>
    <t>Sambat.java</t>
  </si>
  <si>
    <t>Splash.java</t>
  </si>
  <si>
    <t>TentangAplikasi.java</t>
  </si>
  <si>
    <t>TitikGenangan.java</t>
  </si>
  <si>
    <t>TitikGenangan22.java</t>
  </si>
  <si>
    <t>TitikGenanganCCTV22.java</t>
  </si>
  <si>
    <t>konfigurasi.java</t>
  </si>
  <si>
    <t>fiename</t>
  </si>
  <si>
    <t>idfile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</si>
  <si>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</si>
  <si>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</si>
  <si>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</si>
  <si>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</si>
  <si>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</si>
  <si>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</si>
  <si>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</si>
  <si>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</si>
  <si>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</si>
  <si>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</si>
  <si>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</si>
  <si>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</si>
  <si>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</si>
  <si>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</si>
  <si>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</si>
  <si>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</si>
  <si>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</si>
  <si>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</si>
  <si>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</si>
  <si>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</si>
  <si>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</si>
  <si>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</si>
  <si>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</si>
  <si>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</si>
  <si>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</si>
  <si>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</si>
  <si>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</si>
  <si>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</si>
  <si>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</si>
  <si>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</si>
  <si>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</si>
  <si>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</si>
  <si>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</si>
  <si>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Average Blank Lines</t>
  </si>
  <si>
    <t>Average Code Lines</t>
  </si>
  <si>
    <t>Average Comment Lines</t>
  </si>
  <si>
    <t>Average Cyclomatic Complexity</t>
  </si>
  <si>
    <t>Average Lines</t>
  </si>
  <si>
    <t>Blank Lines</t>
  </si>
  <si>
    <t>Class Methods</t>
  </si>
  <si>
    <t>Class Variables</t>
  </si>
  <si>
    <t>Classes</t>
  </si>
  <si>
    <t>Code Lines</t>
  </si>
  <si>
    <t>Comment Lines</t>
  </si>
  <si>
    <t>Comment to Code Ratio</t>
  </si>
  <si>
    <t>Declarative Code Lines</t>
  </si>
  <si>
    <t>Declarative Statements</t>
  </si>
  <si>
    <t>Default Methods</t>
  </si>
  <si>
    <t>Executable Code Lines</t>
  </si>
  <si>
    <t>Executable Statements</t>
  </si>
  <si>
    <t>Executable Units</t>
  </si>
  <si>
    <t>Functions</t>
  </si>
  <si>
    <t>Halstead Length (N)</t>
  </si>
  <si>
    <t>Halstead Total Operands (N2)</t>
  </si>
  <si>
    <t>Halstead Total Operators (N1)</t>
  </si>
  <si>
    <t>Instance Methods</t>
  </si>
  <si>
    <t>Instance Variables</t>
  </si>
  <si>
    <t>Lines</t>
  </si>
  <si>
    <t>Max Cyclomatic Complexity</t>
  </si>
  <si>
    <t>Max Nesting</t>
  </si>
  <si>
    <t>Methods</t>
  </si>
  <si>
    <t>Private Methods</t>
  </si>
  <si>
    <t>Protected Methods</t>
  </si>
  <si>
    <t>Public Methods</t>
  </si>
  <si>
    <t>Semicolons</t>
  </si>
  <si>
    <t>Statements</t>
  </si>
  <si>
    <t>Sum Cyclomatic Complexity</t>
  </si>
  <si>
    <t>abl</t>
  </si>
  <si>
    <t>acl</t>
  </si>
  <si>
    <t>acm</t>
  </si>
  <si>
    <t>acc</t>
  </si>
  <si>
    <t>al</t>
  </si>
  <si>
    <t>bl</t>
  </si>
  <si>
    <t>cm</t>
  </si>
  <si>
    <t>cv</t>
  </si>
  <si>
    <t>cl</t>
  </si>
  <si>
    <t>s</t>
  </si>
  <si>
    <t>cs</t>
  </si>
  <si>
    <t>cml</t>
  </si>
  <si>
    <t>ccr</t>
  </si>
  <si>
    <t>dcl</t>
  </si>
  <si>
    <t>ds</t>
  </si>
  <si>
    <t>dm</t>
  </si>
  <si>
    <t>ecl</t>
  </si>
  <si>
    <t>es</t>
  </si>
  <si>
    <t>f</t>
  </si>
  <si>
    <t>n</t>
  </si>
  <si>
    <t>n2</t>
  </si>
  <si>
    <t>n1</t>
  </si>
  <si>
    <t>eu</t>
  </si>
  <si>
    <t>im</t>
  </si>
  <si>
    <t>iv</t>
  </si>
  <si>
    <t>l</t>
  </si>
  <si>
    <t>mcc</t>
  </si>
  <si>
    <t>mn</t>
  </si>
  <si>
    <t>m</t>
  </si>
  <si>
    <t>pvm</t>
  </si>
  <si>
    <t>prm</t>
  </si>
  <si>
    <t>pum</t>
  </si>
  <si>
    <t>sc</t>
  </si>
  <si>
    <t>scc</t>
  </si>
  <si>
    <t>file</t>
  </si>
  <si>
    <t>id</t>
  </si>
  <si>
    <t>Metrics Variabel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</si>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</sst>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1" xfId="0" applyFont="1" applyBorder="1"/>
    <xf numFmtId="0" fontId="2" fillId="0" borderId="1" xfId="0" applyFont="1" applyBorder="1"/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7C76-537F-914C-8D77-6144A9C0F5F0}">
  <dimension ref="A1:B34"/>
  <sheetViews>
    <sheetView tabSelected="1" workbookViewId="0">
      <selection activeCell="F26" sqref="F26"/>
    </sheetView>
  </sheetViews>
  <sheetFormatPr baseColWidth="10" defaultRowHeight="16" x14ac:dyDescent="0.2"/>
  <cols>
    <col min="1" max="1" width="5.1640625" bestFit="1" customWidth="1"/>
    <col min="2" max="2" width="28.33203125" bestFit="1" customWidth="1"/>
  </cols>
  <sheetData>
    <row r="1" spans="1:2" x14ac:dyDescent="0.2">
      <c r="A1" s="7" t="s">
        <v>34</v>
      </c>
      <c r="B1" s="7" t="s">
        <v>33</v>
      </c>
    </row>
    <row r="2" spans="1:2" x14ac:dyDescent="0.2">
      <c r="A2" s="6" t="s">
        <v>35</v>
      </c>
      <c r="B2" s="6" t="s">
        <v>0</v>
      </c>
    </row>
    <row r="3" spans="1:2" x14ac:dyDescent="0.2">
      <c r="A3" s="6" t="s">
        <v>36</v>
      </c>
      <c r="B3" s="6" t="s">
        <v>1</v>
      </c>
    </row>
    <row r="4" spans="1:2" x14ac:dyDescent="0.2">
      <c r="A4" s="6" t="s">
        <v>37</v>
      </c>
      <c r="B4" s="6" t="s">
        <v>2</v>
      </c>
    </row>
    <row r="5" spans="1:2" x14ac:dyDescent="0.2">
      <c r="A5" s="6" t="s">
        <v>38</v>
      </c>
      <c r="B5" s="6" t="s">
        <v>3</v>
      </c>
    </row>
    <row r="6" spans="1:2" x14ac:dyDescent="0.2">
      <c r="A6" s="6" t="s">
        <v>39</v>
      </c>
      <c r="B6" s="6" t="s">
        <v>4</v>
      </c>
    </row>
    <row r="7" spans="1:2" x14ac:dyDescent="0.2">
      <c r="A7" s="6" t="s">
        <v>40</v>
      </c>
      <c r="B7" s="6" t="s">
        <v>5</v>
      </c>
    </row>
    <row r="8" spans="1:2" x14ac:dyDescent="0.2">
      <c r="A8" s="6" t="s">
        <v>41</v>
      </c>
      <c r="B8" s="6" t="s">
        <v>6</v>
      </c>
    </row>
    <row r="9" spans="1:2" x14ac:dyDescent="0.2">
      <c r="A9" s="6" t="s">
        <v>42</v>
      </c>
      <c r="B9" s="6" t="s">
        <v>7</v>
      </c>
    </row>
    <row r="10" spans="1:2" x14ac:dyDescent="0.2">
      <c r="A10" s="6" t="s">
        <v>43</v>
      </c>
      <c r="B10" s="6" t="s">
        <v>8</v>
      </c>
    </row>
    <row r="11" spans="1:2" x14ac:dyDescent="0.2">
      <c r="A11" s="6" t="s">
        <v>44</v>
      </c>
      <c r="B11" s="6" t="s">
        <v>9</v>
      </c>
    </row>
    <row r="12" spans="1:2" x14ac:dyDescent="0.2">
      <c r="A12" s="6" t="s">
        <v>45</v>
      </c>
      <c r="B12" s="6" t="s">
        <v>10</v>
      </c>
    </row>
    <row r="13" spans="1:2" x14ac:dyDescent="0.2">
      <c r="A13" s="6" t="s">
        <v>46</v>
      </c>
      <c r="B13" s="6" t="s">
        <v>11</v>
      </c>
    </row>
    <row r="14" spans="1:2" x14ac:dyDescent="0.2">
      <c r="A14" s="6" t="s">
        <v>47</v>
      </c>
      <c r="B14" s="6" t="s">
        <v>12</v>
      </c>
    </row>
    <row r="15" spans="1:2" x14ac:dyDescent="0.2">
      <c r="A15" s="6" t="s">
        <v>48</v>
      </c>
      <c r="B15" s="6" t="s">
        <v>13</v>
      </c>
    </row>
    <row r="16" spans="1:2" x14ac:dyDescent="0.2">
      <c r="A16" s="6" t="s">
        <v>49</v>
      </c>
      <c r="B16" s="6" t="s">
        <v>14</v>
      </c>
    </row>
    <row r="17" spans="1:2" x14ac:dyDescent="0.2">
      <c r="A17" s="6" t="s">
        <v>50</v>
      </c>
      <c r="B17" s="6" t="s">
        <v>15</v>
      </c>
    </row>
    <row r="18" spans="1:2" x14ac:dyDescent="0.2">
      <c r="A18" s="6" t="s">
        <v>51</v>
      </c>
      <c r="B18" s="6" t="s">
        <v>16</v>
      </c>
    </row>
    <row r="19" spans="1:2" x14ac:dyDescent="0.2">
      <c r="A19" s="6" t="s">
        <v>52</v>
      </c>
      <c r="B19" s="6" t="s">
        <v>17</v>
      </c>
    </row>
    <row r="20" spans="1:2" x14ac:dyDescent="0.2">
      <c r="A20" s="6" t="s">
        <v>53</v>
      </c>
      <c r="B20" s="6" t="s">
        <v>18</v>
      </c>
    </row>
    <row r="21" spans="1:2" x14ac:dyDescent="0.2">
      <c r="A21" s="6" t="s">
        <v>54</v>
      </c>
      <c r="B21" s="6" t="s">
        <v>19</v>
      </c>
    </row>
    <row r="22" spans="1:2" x14ac:dyDescent="0.2">
      <c r="A22" s="6" t="s">
        <v>55</v>
      </c>
      <c r="B22" s="6" t="s">
        <v>20</v>
      </c>
    </row>
    <row r="23" spans="1:2" x14ac:dyDescent="0.2">
      <c r="A23" s="6" t="s">
        <v>56</v>
      </c>
      <c r="B23" s="6" t="s">
        <v>21</v>
      </c>
    </row>
    <row r="24" spans="1:2" x14ac:dyDescent="0.2">
      <c r="A24" s="6" t="s">
        <v>57</v>
      </c>
      <c r="B24" s="6" t="s">
        <v>22</v>
      </c>
    </row>
    <row r="25" spans="1:2" x14ac:dyDescent="0.2">
      <c r="A25" s="6" t="s">
        <v>58</v>
      </c>
      <c r="B25" s="6" t="s">
        <v>23</v>
      </c>
    </row>
    <row r="26" spans="1:2" x14ac:dyDescent="0.2">
      <c r="A26" s="6" t="s">
        <v>59</v>
      </c>
      <c r="B26" s="6" t="s">
        <v>24</v>
      </c>
    </row>
    <row r="27" spans="1:2" x14ac:dyDescent="0.2">
      <c r="A27" s="6" t="s">
        <v>60</v>
      </c>
      <c r="B27" s="6" t="s">
        <v>25</v>
      </c>
    </row>
    <row r="28" spans="1:2" x14ac:dyDescent="0.2">
      <c r="A28" s="6" t="s">
        <v>61</v>
      </c>
      <c r="B28" s="6" t="s">
        <v>26</v>
      </c>
    </row>
    <row r="29" spans="1:2" x14ac:dyDescent="0.2">
      <c r="A29" s="6" t="s">
        <v>62</v>
      </c>
      <c r="B29" s="6" t="s">
        <v>27</v>
      </c>
    </row>
    <row r="30" spans="1:2" x14ac:dyDescent="0.2">
      <c r="A30" s="6" t="s">
        <v>63</v>
      </c>
      <c r="B30" s="6" t="s">
        <v>28</v>
      </c>
    </row>
    <row r="31" spans="1:2" x14ac:dyDescent="0.2">
      <c r="A31" s="6" t="s">
        <v>64</v>
      </c>
      <c r="B31" s="6" t="s">
        <v>29</v>
      </c>
    </row>
    <row r="32" spans="1:2" x14ac:dyDescent="0.2">
      <c r="A32" s="6" t="s">
        <v>65</v>
      </c>
      <c r="B32" s="6" t="s">
        <v>30</v>
      </c>
    </row>
    <row r="33" spans="1:2" x14ac:dyDescent="0.2">
      <c r="A33" s="6" t="s">
        <v>66</v>
      </c>
      <c r="B33" s="6" t="s">
        <v>31</v>
      </c>
    </row>
    <row r="34" spans="1:2" x14ac:dyDescent="0.2">
      <c r="A34" s="6" t="s">
        <v>67</v>
      </c>
      <c r="B34" s="6" t="s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237A-CA18-2A40-9501-7D938B523CE9}">
  <dimension ref="A1:B35"/>
  <sheetViews>
    <sheetView workbookViewId="0">
      <selection sqref="A1:B35"/>
    </sheetView>
  </sheetViews>
  <sheetFormatPr baseColWidth="10" defaultRowHeight="16" x14ac:dyDescent="0.2"/>
  <cols>
    <col min="1" max="1" width="30.5" bestFit="1" customWidth="1"/>
    <col min="2" max="2" width="5.33203125" bestFit="1" customWidth="1"/>
  </cols>
  <sheetData>
    <row r="1" spans="1:2" x14ac:dyDescent="0.2">
      <c r="A1" s="4" t="s">
        <v>138</v>
      </c>
      <c r="B1" s="4" t="s">
        <v>137</v>
      </c>
    </row>
    <row r="2" spans="1:2" x14ac:dyDescent="0.2">
      <c r="A2" s="5" t="s">
        <v>68</v>
      </c>
      <c r="B2" s="5" t="s">
        <v>102</v>
      </c>
    </row>
    <row r="3" spans="1:2" x14ac:dyDescent="0.2">
      <c r="A3" s="5" t="s">
        <v>69</v>
      </c>
      <c r="B3" s="5" t="s">
        <v>104</v>
      </c>
    </row>
    <row r="4" spans="1:2" x14ac:dyDescent="0.2">
      <c r="A4" s="5" t="s">
        <v>70</v>
      </c>
      <c r="B4" s="5" t="s">
        <v>103</v>
      </c>
    </row>
    <row r="5" spans="1:2" x14ac:dyDescent="0.2">
      <c r="A5" s="5" t="s">
        <v>71</v>
      </c>
      <c r="B5" s="5" t="s">
        <v>105</v>
      </c>
    </row>
    <row r="6" spans="1:2" x14ac:dyDescent="0.2">
      <c r="A6" s="5" t="s">
        <v>72</v>
      </c>
      <c r="B6" s="5" t="s">
        <v>106</v>
      </c>
    </row>
    <row r="7" spans="1:2" x14ac:dyDescent="0.2">
      <c r="A7" s="4" t="s">
        <v>73</v>
      </c>
      <c r="B7" s="4" t="s">
        <v>107</v>
      </c>
    </row>
    <row r="8" spans="1:2" x14ac:dyDescent="0.2">
      <c r="A8" s="4" t="s">
        <v>74</v>
      </c>
      <c r="B8" s="4" t="s">
        <v>108</v>
      </c>
    </row>
    <row r="9" spans="1:2" x14ac:dyDescent="0.2">
      <c r="A9" s="4" t="s">
        <v>75</v>
      </c>
      <c r="B9" s="4" t="s">
        <v>109</v>
      </c>
    </row>
    <row r="10" spans="1:2" x14ac:dyDescent="0.2">
      <c r="A10" s="4" t="s">
        <v>76</v>
      </c>
      <c r="B10" s="4" t="s">
        <v>112</v>
      </c>
    </row>
    <row r="11" spans="1:2" x14ac:dyDescent="0.2">
      <c r="A11" s="4" t="s">
        <v>77</v>
      </c>
      <c r="B11" s="4" t="s">
        <v>110</v>
      </c>
    </row>
    <row r="12" spans="1:2" x14ac:dyDescent="0.2">
      <c r="A12" s="4" t="s">
        <v>78</v>
      </c>
      <c r="B12" s="4" t="s">
        <v>113</v>
      </c>
    </row>
    <row r="13" spans="1:2" x14ac:dyDescent="0.2">
      <c r="A13" s="4" t="s">
        <v>79</v>
      </c>
      <c r="B13" s="4" t="s">
        <v>114</v>
      </c>
    </row>
    <row r="14" spans="1:2" x14ac:dyDescent="0.2">
      <c r="A14" s="4" t="s">
        <v>80</v>
      </c>
      <c r="B14" s="4" t="s">
        <v>115</v>
      </c>
    </row>
    <row r="15" spans="1:2" x14ac:dyDescent="0.2">
      <c r="A15" s="4" t="s">
        <v>81</v>
      </c>
      <c r="B15" s="4" t="s">
        <v>116</v>
      </c>
    </row>
    <row r="16" spans="1:2" x14ac:dyDescent="0.2">
      <c r="A16" s="5" t="s">
        <v>82</v>
      </c>
      <c r="B16" s="5" t="s">
        <v>117</v>
      </c>
    </row>
    <row r="17" spans="1:2" x14ac:dyDescent="0.2">
      <c r="A17" s="4" t="s">
        <v>83</v>
      </c>
      <c r="B17" s="4" t="s">
        <v>118</v>
      </c>
    </row>
    <row r="18" spans="1:2" x14ac:dyDescent="0.2">
      <c r="A18" s="4" t="s">
        <v>84</v>
      </c>
      <c r="B18" s="4" t="s">
        <v>119</v>
      </c>
    </row>
    <row r="19" spans="1:2" x14ac:dyDescent="0.2">
      <c r="A19" s="4" t="s">
        <v>85</v>
      </c>
      <c r="B19" s="4" t="s">
        <v>124</v>
      </c>
    </row>
    <row r="20" spans="1:2" x14ac:dyDescent="0.2">
      <c r="A20" s="4" t="s">
        <v>86</v>
      </c>
      <c r="B20" s="4" t="s">
        <v>120</v>
      </c>
    </row>
    <row r="21" spans="1:2" x14ac:dyDescent="0.2">
      <c r="A21" s="4" t="s">
        <v>87</v>
      </c>
      <c r="B21" s="4" t="s">
        <v>121</v>
      </c>
    </row>
    <row r="22" spans="1:2" x14ac:dyDescent="0.2">
      <c r="A22" s="4" t="s">
        <v>88</v>
      </c>
      <c r="B22" s="4" t="s">
        <v>122</v>
      </c>
    </row>
    <row r="23" spans="1:2" x14ac:dyDescent="0.2">
      <c r="A23" s="4" t="s">
        <v>89</v>
      </c>
      <c r="B23" s="4" t="s">
        <v>123</v>
      </c>
    </row>
    <row r="24" spans="1:2" x14ac:dyDescent="0.2">
      <c r="A24" s="4" t="s">
        <v>90</v>
      </c>
      <c r="B24" s="4" t="s">
        <v>125</v>
      </c>
    </row>
    <row r="25" spans="1:2" x14ac:dyDescent="0.2">
      <c r="A25" s="4" t="s">
        <v>91</v>
      </c>
      <c r="B25" s="4" t="s">
        <v>126</v>
      </c>
    </row>
    <row r="26" spans="1:2" x14ac:dyDescent="0.2">
      <c r="A26" s="4" t="s">
        <v>92</v>
      </c>
      <c r="B26" s="4" t="s">
        <v>127</v>
      </c>
    </row>
    <row r="27" spans="1:2" x14ac:dyDescent="0.2">
      <c r="A27" s="4" t="s">
        <v>93</v>
      </c>
      <c r="B27" s="4" t="s">
        <v>128</v>
      </c>
    </row>
    <row r="28" spans="1:2" x14ac:dyDescent="0.2">
      <c r="A28" s="4" t="s">
        <v>94</v>
      </c>
      <c r="B28" s="4" t="s">
        <v>129</v>
      </c>
    </row>
    <row r="29" spans="1:2" x14ac:dyDescent="0.2">
      <c r="A29" s="4" t="s">
        <v>95</v>
      </c>
      <c r="B29" s="4" t="s">
        <v>130</v>
      </c>
    </row>
    <row r="30" spans="1:2" x14ac:dyDescent="0.2">
      <c r="A30" s="4" t="s">
        <v>96</v>
      </c>
      <c r="B30" s="4" t="s">
        <v>131</v>
      </c>
    </row>
    <row r="31" spans="1:2" x14ac:dyDescent="0.2">
      <c r="A31" s="4" t="s">
        <v>97</v>
      </c>
      <c r="B31" s="4" t="s">
        <v>132</v>
      </c>
    </row>
    <row r="32" spans="1:2" x14ac:dyDescent="0.2">
      <c r="A32" s="4" t="s">
        <v>98</v>
      </c>
      <c r="B32" s="4" t="s">
        <v>133</v>
      </c>
    </row>
    <row r="33" spans="1:2" x14ac:dyDescent="0.2">
      <c r="A33" s="4" t="s">
        <v>99</v>
      </c>
      <c r="B33" s="4" t="s">
        <v>134</v>
      </c>
    </row>
    <row r="34" spans="1:2" x14ac:dyDescent="0.2">
      <c r="A34" s="4" t="s">
        <v>100</v>
      </c>
      <c r="B34" s="4" t="s">
        <v>111</v>
      </c>
    </row>
    <row r="35" spans="1:2" x14ac:dyDescent="0.2">
      <c r="A35" s="4" t="s">
        <v>101</v>
      </c>
      <c r="B35" s="4" t="s">
        <v>135</v>
      </c>
    </row>
  </sheetData>
  <conditionalFormatting sqref="B2:B35">
    <cfRule type="duplicateValues" dxfId="3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DBBA-16DC-D145-B9F7-D0D23D5B8C6A}">
  <dimension ref="A1:AK34"/>
  <sheetViews>
    <sheetView topLeftCell="A2" workbookViewId="0">
      <selection activeCell="AK16" sqref="AK16"/>
    </sheetView>
  </sheetViews>
  <sheetFormatPr baseColWidth="10" defaultRowHeight="16" x14ac:dyDescent="0.2"/>
  <cols>
    <col min="1" max="1" width="4.83203125" customWidth="1"/>
    <col min="2" max="2" width="28.33203125" bestFit="1" customWidth="1"/>
    <col min="3" max="3" width="4" bestFit="1" customWidth="1"/>
    <col min="4" max="4" width="5" bestFit="1" customWidth="1"/>
    <col min="5" max="5" width="3.83203125" bestFit="1" customWidth="1"/>
    <col min="6" max="6" width="4.33203125" bestFit="1" customWidth="1"/>
    <col min="7" max="7" width="3.5" bestFit="1" customWidth="1"/>
    <col min="8" max="8" width="4.6640625" bestFit="1" customWidth="1"/>
    <col min="9" max="9" width="4.1640625" bestFit="1" customWidth="1"/>
    <col min="10" max="11" width="3.5" bestFit="1" customWidth="1"/>
    <col min="12" max="13" width="4.6640625" bestFit="1" customWidth="1"/>
    <col min="14" max="14" width="5.83203125" bestFit="1" customWidth="1"/>
    <col min="15" max="16" width="4.6640625" bestFit="1" customWidth="1"/>
    <col min="17" max="17" width="4" bestFit="1" customWidth="1"/>
    <col min="18" max="19" width="4.6640625" bestFit="1" customWidth="1"/>
    <col min="20" max="21" width="3.5" bestFit="1" customWidth="1"/>
    <col min="22" max="24" width="6.33203125" bestFit="1" customWidth="1"/>
    <col min="25" max="26" width="3.5" bestFit="1" customWidth="1"/>
    <col min="27" max="27" width="4.6640625" bestFit="1" customWidth="1"/>
    <col min="28" max="28" width="5.33203125" bestFit="1" customWidth="1"/>
    <col min="29" max="29" width="4.1640625" bestFit="1" customWidth="1"/>
    <col min="30" max="30" width="3.5" bestFit="1" customWidth="1"/>
    <col min="31" max="31" width="5.33203125" bestFit="1" customWidth="1"/>
    <col min="32" max="32" width="5" bestFit="1" customWidth="1"/>
    <col min="33" max="33" width="5.33203125" bestFit="1" customWidth="1"/>
    <col min="34" max="36" width="4.6640625" bestFit="1" customWidth="1"/>
  </cols>
  <sheetData>
    <row r="1" spans="1:37" x14ac:dyDescent="0.2">
      <c r="A1" t="s">
        <v>136</v>
      </c>
      <c r="B1" t="s">
        <v>33</v>
      </c>
      <c r="C1" s="2" t="s">
        <v>102</v>
      </c>
      <c r="D1" s="2" t="s">
        <v>104</v>
      </c>
      <c r="E1" s="2" t="s">
        <v>103</v>
      </c>
      <c r="F1" s="2" t="s">
        <v>105</v>
      </c>
      <c r="G1" s="2" t="s">
        <v>106</v>
      </c>
      <c r="H1" s="1" t="s">
        <v>107</v>
      </c>
      <c r="I1" s="1" t="s">
        <v>108</v>
      </c>
      <c r="J1" s="1" t="s">
        <v>109</v>
      </c>
      <c r="K1" s="1" t="s">
        <v>112</v>
      </c>
      <c r="L1" s="1" t="s">
        <v>110</v>
      </c>
      <c r="M1" s="1" t="s">
        <v>113</v>
      </c>
      <c r="N1" s="1" t="s">
        <v>114</v>
      </c>
      <c r="O1" s="1" t="s">
        <v>115</v>
      </c>
      <c r="P1" s="1" t="s">
        <v>116</v>
      </c>
      <c r="Q1" s="2" t="s">
        <v>117</v>
      </c>
      <c r="R1" s="1" t="s">
        <v>118</v>
      </c>
      <c r="S1" s="1" t="s">
        <v>119</v>
      </c>
      <c r="T1" s="1" t="s">
        <v>124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111</v>
      </c>
      <c r="AJ1" s="1" t="s">
        <v>135</v>
      </c>
      <c r="AK1" s="1" t="s">
        <v>139</v>
      </c>
    </row>
    <row r="2" spans="1:37" x14ac:dyDescent="0.2">
      <c r="A2" t="s">
        <v>35</v>
      </c>
      <c r="B2" t="s">
        <v>0</v>
      </c>
      <c r="C2" s="2">
        <v>1</v>
      </c>
      <c r="D2" s="2">
        <v>11</v>
      </c>
      <c r="E2" s="2">
        <v>1</v>
      </c>
      <c r="F2" s="2">
        <v>1</v>
      </c>
      <c r="G2" s="2">
        <v>13</v>
      </c>
      <c r="H2" s="1">
        <v>41</v>
      </c>
      <c r="I2" s="1">
        <v>6</v>
      </c>
      <c r="J2" s="1">
        <v>6</v>
      </c>
      <c r="K2" s="1">
        <v>5</v>
      </c>
      <c r="L2" s="1">
        <v>203</v>
      </c>
      <c r="M2" s="1">
        <v>23</v>
      </c>
      <c r="N2" s="1">
        <v>0.11</v>
      </c>
      <c r="O2" s="1">
        <v>89</v>
      </c>
      <c r="P2" s="1">
        <v>83</v>
      </c>
      <c r="Q2" s="2">
        <v>0</v>
      </c>
      <c r="R2" s="1">
        <v>116</v>
      </c>
      <c r="S2" s="1">
        <v>102</v>
      </c>
      <c r="T2" s="1">
        <v>19</v>
      </c>
      <c r="U2" s="1">
        <v>19</v>
      </c>
      <c r="V2" s="3">
        <v>1256</v>
      </c>
      <c r="W2" s="1">
        <v>557</v>
      </c>
      <c r="X2" s="1">
        <v>699</v>
      </c>
      <c r="Y2" s="1">
        <v>13</v>
      </c>
      <c r="Z2" s="1">
        <v>26</v>
      </c>
      <c r="AA2" s="1">
        <v>260</v>
      </c>
      <c r="AB2" s="1">
        <v>3</v>
      </c>
      <c r="AC2" s="1">
        <v>1</v>
      </c>
      <c r="AD2" s="1">
        <v>19</v>
      </c>
      <c r="AE2" s="1">
        <v>4</v>
      </c>
      <c r="AF2" s="1">
        <v>7</v>
      </c>
      <c r="AG2" s="1">
        <v>8</v>
      </c>
      <c r="AH2" s="1">
        <v>133</v>
      </c>
      <c r="AI2" s="1">
        <v>159</v>
      </c>
      <c r="AJ2" s="1">
        <v>23</v>
      </c>
      <c r="AK2" t="str">
        <f>IF(AJ2&gt;0,"true","false")</f>
        <v>true</v>
      </c>
    </row>
    <row r="3" spans="1:37" x14ac:dyDescent="0.2">
      <c r="A3" t="s">
        <v>36</v>
      </c>
      <c r="B3" t="s">
        <v>1</v>
      </c>
      <c r="C3" s="2">
        <v>2</v>
      </c>
      <c r="D3" s="2">
        <v>14</v>
      </c>
      <c r="E3" s="2">
        <v>1</v>
      </c>
      <c r="F3" s="2">
        <v>2</v>
      </c>
      <c r="G3" s="2">
        <v>16</v>
      </c>
      <c r="H3" s="1">
        <v>38</v>
      </c>
      <c r="I3" s="1">
        <v>4</v>
      </c>
      <c r="J3" s="1">
        <v>6</v>
      </c>
      <c r="K3" s="1">
        <v>5</v>
      </c>
      <c r="L3" s="1">
        <v>183</v>
      </c>
      <c r="M3" s="1">
        <v>14</v>
      </c>
      <c r="N3" s="1">
        <v>0.08</v>
      </c>
      <c r="O3" s="1">
        <v>70</v>
      </c>
      <c r="P3" s="1">
        <v>68</v>
      </c>
      <c r="Q3" s="2">
        <v>0</v>
      </c>
      <c r="R3" s="1">
        <v>108</v>
      </c>
      <c r="S3" s="1">
        <v>85</v>
      </c>
      <c r="T3" s="1">
        <v>13</v>
      </c>
      <c r="U3" s="1">
        <v>13</v>
      </c>
      <c r="V3" s="3">
        <v>1170</v>
      </c>
      <c r="W3" s="1">
        <v>498</v>
      </c>
      <c r="X3" s="1">
        <v>672</v>
      </c>
      <c r="Y3" s="1">
        <v>9</v>
      </c>
      <c r="Z3" s="1">
        <v>27</v>
      </c>
      <c r="AA3" s="1">
        <v>227</v>
      </c>
      <c r="AB3" s="1">
        <v>10</v>
      </c>
      <c r="AC3" s="1">
        <v>2</v>
      </c>
      <c r="AD3" s="1">
        <v>13</v>
      </c>
      <c r="AE3" s="1">
        <v>2</v>
      </c>
      <c r="AF3" s="1">
        <v>4</v>
      </c>
      <c r="AG3" s="1">
        <v>7</v>
      </c>
      <c r="AH3" s="1">
        <v>111</v>
      </c>
      <c r="AI3" s="1">
        <v>135</v>
      </c>
      <c r="AJ3" s="1">
        <v>22</v>
      </c>
      <c r="AK3" t="str">
        <f t="shared" ref="AK3:AK34" si="0">IF(AJ3&gt;0,"true","false")</f>
        <v>true</v>
      </c>
    </row>
    <row r="4" spans="1:37" x14ac:dyDescent="0.2">
      <c r="A4" t="s">
        <v>37</v>
      </c>
      <c r="B4" t="s">
        <v>2</v>
      </c>
      <c r="C4" s="2">
        <v>3</v>
      </c>
      <c r="D4" s="2">
        <v>18</v>
      </c>
      <c r="E4" s="2">
        <v>4</v>
      </c>
      <c r="F4" s="2">
        <v>2</v>
      </c>
      <c r="G4" s="2">
        <v>23</v>
      </c>
      <c r="H4" s="1">
        <v>125</v>
      </c>
      <c r="I4" s="1">
        <v>1</v>
      </c>
      <c r="J4" s="1">
        <v>4</v>
      </c>
      <c r="K4" s="1">
        <v>9</v>
      </c>
      <c r="L4" s="1">
        <v>604</v>
      </c>
      <c r="M4" s="1">
        <v>119</v>
      </c>
      <c r="N4" s="1">
        <v>0.2</v>
      </c>
      <c r="O4" s="1">
        <v>218</v>
      </c>
      <c r="P4" s="1">
        <v>199</v>
      </c>
      <c r="Q4" s="2">
        <v>0</v>
      </c>
      <c r="R4" s="1">
        <v>410</v>
      </c>
      <c r="S4" s="1">
        <v>310</v>
      </c>
      <c r="T4" s="1">
        <v>37</v>
      </c>
      <c r="U4" s="1">
        <v>37</v>
      </c>
      <c r="V4" s="3">
        <v>4463</v>
      </c>
      <c r="W4" s="3">
        <v>1919</v>
      </c>
      <c r="X4" s="3">
        <v>2544</v>
      </c>
      <c r="Y4" s="1">
        <v>36</v>
      </c>
      <c r="Z4" s="1">
        <v>32</v>
      </c>
      <c r="AA4" s="1">
        <v>818</v>
      </c>
      <c r="AB4" s="1">
        <v>11</v>
      </c>
      <c r="AC4" s="1">
        <v>4</v>
      </c>
      <c r="AD4" s="1">
        <v>37</v>
      </c>
      <c r="AE4" s="1">
        <v>11</v>
      </c>
      <c r="AF4" s="1">
        <v>13</v>
      </c>
      <c r="AG4" s="1">
        <v>13</v>
      </c>
      <c r="AH4" s="1">
        <v>367</v>
      </c>
      <c r="AI4" s="1">
        <v>441</v>
      </c>
      <c r="AJ4" s="1">
        <v>68</v>
      </c>
      <c r="AK4" t="str">
        <f t="shared" si="0"/>
        <v>true</v>
      </c>
    </row>
    <row r="5" spans="1:37" x14ac:dyDescent="0.2">
      <c r="A5" t="s">
        <v>38</v>
      </c>
      <c r="B5" t="s">
        <v>3</v>
      </c>
      <c r="C5" s="2">
        <v>1</v>
      </c>
      <c r="D5" s="2">
        <v>10</v>
      </c>
      <c r="E5" s="2">
        <v>0</v>
      </c>
      <c r="F5" s="2">
        <v>2</v>
      </c>
      <c r="G5" s="2">
        <v>10</v>
      </c>
      <c r="H5" s="1">
        <v>8</v>
      </c>
      <c r="I5" s="1">
        <v>1</v>
      </c>
      <c r="J5" s="1">
        <v>1</v>
      </c>
      <c r="K5" s="1">
        <v>2</v>
      </c>
      <c r="L5" s="1">
        <v>31</v>
      </c>
      <c r="M5" s="1">
        <v>0</v>
      </c>
      <c r="N5" s="1">
        <v>0</v>
      </c>
      <c r="O5" s="1">
        <v>22</v>
      </c>
      <c r="P5" s="1">
        <v>17</v>
      </c>
      <c r="Q5" s="2">
        <v>1</v>
      </c>
      <c r="R5" s="1">
        <v>12</v>
      </c>
      <c r="S5" s="1">
        <v>8</v>
      </c>
      <c r="T5" s="1">
        <v>2</v>
      </c>
      <c r="U5" s="1">
        <v>3</v>
      </c>
      <c r="V5" s="1">
        <v>163</v>
      </c>
      <c r="W5" s="1">
        <v>67</v>
      </c>
      <c r="X5" s="1">
        <v>96</v>
      </c>
      <c r="Y5" s="1">
        <v>2</v>
      </c>
      <c r="Z5" s="1">
        <v>0</v>
      </c>
      <c r="AA5" s="1">
        <v>39</v>
      </c>
      <c r="AB5" s="1">
        <v>2</v>
      </c>
      <c r="AC5" s="1">
        <v>1</v>
      </c>
      <c r="AD5" s="1">
        <v>3</v>
      </c>
      <c r="AE5" s="1">
        <v>0</v>
      </c>
      <c r="AF5" s="1">
        <v>0</v>
      </c>
      <c r="AG5" s="1">
        <v>2</v>
      </c>
      <c r="AH5" s="1">
        <v>15</v>
      </c>
      <c r="AI5" s="1">
        <v>20</v>
      </c>
      <c r="AJ5" s="1">
        <v>3</v>
      </c>
      <c r="AK5" t="str">
        <f t="shared" si="0"/>
        <v>true</v>
      </c>
    </row>
    <row r="6" spans="1:37" x14ac:dyDescent="0.2">
      <c r="A6" t="s">
        <v>39</v>
      </c>
      <c r="B6" t="s">
        <v>4</v>
      </c>
      <c r="C6" s="2">
        <v>2</v>
      </c>
      <c r="D6" s="2">
        <v>13</v>
      </c>
      <c r="E6" s="2">
        <v>2</v>
      </c>
      <c r="F6" s="2">
        <v>2</v>
      </c>
      <c r="G6" s="2">
        <v>17</v>
      </c>
      <c r="H6" s="1">
        <v>77</v>
      </c>
      <c r="I6" s="1">
        <v>0</v>
      </c>
      <c r="J6" s="1">
        <v>1</v>
      </c>
      <c r="K6" s="1">
        <v>6</v>
      </c>
      <c r="L6" s="1">
        <v>306</v>
      </c>
      <c r="M6" s="1">
        <v>50</v>
      </c>
      <c r="N6" s="1">
        <v>0.16</v>
      </c>
      <c r="O6" s="1">
        <v>132</v>
      </c>
      <c r="P6" s="1">
        <v>119</v>
      </c>
      <c r="Q6" s="2">
        <v>0</v>
      </c>
      <c r="R6" s="1">
        <v>172</v>
      </c>
      <c r="S6" s="1">
        <v>141</v>
      </c>
      <c r="T6" s="1">
        <v>23</v>
      </c>
      <c r="U6" s="1">
        <v>23</v>
      </c>
      <c r="V6" s="3">
        <v>2102</v>
      </c>
      <c r="W6" s="1">
        <v>905</v>
      </c>
      <c r="X6" s="3">
        <v>1197</v>
      </c>
      <c r="Y6" s="1">
        <v>23</v>
      </c>
      <c r="Z6" s="1">
        <v>24</v>
      </c>
      <c r="AA6" s="1">
        <v>430</v>
      </c>
      <c r="AB6" s="1">
        <v>7</v>
      </c>
      <c r="AC6" s="1">
        <v>3</v>
      </c>
      <c r="AD6" s="1">
        <v>23</v>
      </c>
      <c r="AE6" s="1">
        <v>9</v>
      </c>
      <c r="AF6" s="1">
        <v>7</v>
      </c>
      <c r="AG6" s="1">
        <v>7</v>
      </c>
      <c r="AH6" s="1">
        <v>193</v>
      </c>
      <c r="AI6" s="1">
        <v>235</v>
      </c>
      <c r="AJ6" s="1">
        <v>38</v>
      </c>
      <c r="AK6" t="str">
        <f t="shared" si="0"/>
        <v>true</v>
      </c>
    </row>
    <row r="7" spans="1:37" x14ac:dyDescent="0.2">
      <c r="A7" t="s">
        <v>40</v>
      </c>
      <c r="B7" t="s">
        <v>5</v>
      </c>
      <c r="C7" s="2">
        <v>1</v>
      </c>
      <c r="D7" s="2">
        <v>10</v>
      </c>
      <c r="E7" s="2">
        <v>1</v>
      </c>
      <c r="F7" s="2">
        <v>1</v>
      </c>
      <c r="G7" s="2">
        <v>12</v>
      </c>
      <c r="H7" s="1">
        <v>23</v>
      </c>
      <c r="I7" s="1">
        <v>6</v>
      </c>
      <c r="J7" s="1">
        <v>6</v>
      </c>
      <c r="K7" s="1">
        <v>4</v>
      </c>
      <c r="L7" s="1">
        <v>119</v>
      </c>
      <c r="M7" s="1">
        <v>8</v>
      </c>
      <c r="N7" s="1">
        <v>7.0000000000000007E-2</v>
      </c>
      <c r="O7" s="1">
        <v>35</v>
      </c>
      <c r="P7" s="1">
        <v>36</v>
      </c>
      <c r="Q7" s="2">
        <v>0</v>
      </c>
      <c r="R7" s="1">
        <v>74</v>
      </c>
      <c r="S7" s="1">
        <v>60</v>
      </c>
      <c r="T7" s="1">
        <v>11</v>
      </c>
      <c r="U7" s="1">
        <v>11</v>
      </c>
      <c r="V7" s="1">
        <v>752</v>
      </c>
      <c r="W7" s="1">
        <v>328</v>
      </c>
      <c r="X7" s="1">
        <v>424</v>
      </c>
      <c r="Y7" s="1">
        <v>5</v>
      </c>
      <c r="Z7" s="1">
        <v>26</v>
      </c>
      <c r="AA7" s="1">
        <v>147</v>
      </c>
      <c r="AB7" s="1">
        <v>2</v>
      </c>
      <c r="AC7" s="1">
        <v>1</v>
      </c>
      <c r="AD7" s="1">
        <v>11</v>
      </c>
      <c r="AE7" s="1">
        <v>1</v>
      </c>
      <c r="AF7" s="1">
        <v>1</v>
      </c>
      <c r="AG7" s="1">
        <v>9</v>
      </c>
      <c r="AH7" s="1">
        <v>81</v>
      </c>
      <c r="AI7" s="1">
        <v>94</v>
      </c>
      <c r="AJ7" s="1">
        <v>12</v>
      </c>
      <c r="AK7" t="str">
        <f t="shared" si="0"/>
        <v>true</v>
      </c>
    </row>
    <row r="8" spans="1:37" x14ac:dyDescent="0.2">
      <c r="A8" t="s">
        <v>41</v>
      </c>
      <c r="B8" t="s">
        <v>6</v>
      </c>
      <c r="C8" s="2">
        <v>2</v>
      </c>
      <c r="D8" s="2">
        <v>20</v>
      </c>
      <c r="E8" s="2">
        <v>4</v>
      </c>
      <c r="F8" s="2">
        <v>4</v>
      </c>
      <c r="G8" s="2">
        <v>25</v>
      </c>
      <c r="H8" s="1">
        <v>29</v>
      </c>
      <c r="I8" s="1">
        <v>0</v>
      </c>
      <c r="J8" s="1">
        <v>6</v>
      </c>
      <c r="K8" s="1">
        <v>1</v>
      </c>
      <c r="L8" s="1">
        <v>131</v>
      </c>
      <c r="M8" s="1">
        <v>32</v>
      </c>
      <c r="N8" s="1">
        <v>0.24</v>
      </c>
      <c r="O8" s="1">
        <v>51</v>
      </c>
      <c r="P8" s="1">
        <v>49</v>
      </c>
      <c r="Q8" s="2">
        <v>0</v>
      </c>
      <c r="R8" s="1">
        <v>92</v>
      </c>
      <c r="S8" s="1">
        <v>74</v>
      </c>
      <c r="T8" s="1">
        <v>5</v>
      </c>
      <c r="U8" s="1">
        <v>5</v>
      </c>
      <c r="V8" s="1">
        <v>933</v>
      </c>
      <c r="W8" s="1">
        <v>404</v>
      </c>
      <c r="X8" s="1">
        <v>529</v>
      </c>
      <c r="Y8" s="1">
        <v>5</v>
      </c>
      <c r="Z8" s="1">
        <v>11</v>
      </c>
      <c r="AA8" s="1">
        <v>181</v>
      </c>
      <c r="AB8" s="1">
        <v>11</v>
      </c>
      <c r="AC8" s="1">
        <v>3</v>
      </c>
      <c r="AD8" s="1">
        <v>5</v>
      </c>
      <c r="AE8" s="1">
        <v>3</v>
      </c>
      <c r="AF8" s="1">
        <v>1</v>
      </c>
      <c r="AG8" s="1">
        <v>1</v>
      </c>
      <c r="AH8" s="1">
        <v>91</v>
      </c>
      <c r="AI8" s="1">
        <v>108</v>
      </c>
      <c r="AJ8" s="1">
        <v>20</v>
      </c>
      <c r="AK8" t="str">
        <f t="shared" si="0"/>
        <v>true</v>
      </c>
    </row>
    <row r="9" spans="1:37" x14ac:dyDescent="0.2">
      <c r="A9" t="s">
        <v>42</v>
      </c>
      <c r="B9" t="s">
        <v>7</v>
      </c>
      <c r="C9" s="2">
        <v>2</v>
      </c>
      <c r="D9" s="2">
        <v>13</v>
      </c>
      <c r="E9" s="2">
        <v>2</v>
      </c>
      <c r="F9" s="2">
        <v>2</v>
      </c>
      <c r="G9" s="2">
        <v>17</v>
      </c>
      <c r="H9" s="1">
        <v>73</v>
      </c>
      <c r="I9" s="1">
        <v>0</v>
      </c>
      <c r="J9" s="1">
        <v>1</v>
      </c>
      <c r="K9" s="1">
        <v>6</v>
      </c>
      <c r="L9" s="1">
        <v>306</v>
      </c>
      <c r="M9" s="1">
        <v>50</v>
      </c>
      <c r="N9" s="1">
        <v>0.16</v>
      </c>
      <c r="O9" s="1">
        <v>132</v>
      </c>
      <c r="P9" s="1">
        <v>119</v>
      </c>
      <c r="Q9" s="2">
        <v>0</v>
      </c>
      <c r="R9" s="1">
        <v>172</v>
      </c>
      <c r="S9" s="1">
        <v>141</v>
      </c>
      <c r="T9" s="1">
        <v>23</v>
      </c>
      <c r="U9" s="1">
        <v>23</v>
      </c>
      <c r="V9" s="3">
        <v>2102</v>
      </c>
      <c r="W9" s="1">
        <v>905</v>
      </c>
      <c r="X9" s="3">
        <v>1197</v>
      </c>
      <c r="Y9" s="1">
        <v>23</v>
      </c>
      <c r="Z9" s="1">
        <v>24</v>
      </c>
      <c r="AA9" s="1">
        <v>426</v>
      </c>
      <c r="AB9" s="1">
        <v>7</v>
      </c>
      <c r="AC9" s="1">
        <v>3</v>
      </c>
      <c r="AD9" s="1">
        <v>23</v>
      </c>
      <c r="AE9" s="1">
        <v>9</v>
      </c>
      <c r="AF9" s="1">
        <v>7</v>
      </c>
      <c r="AG9" s="1">
        <v>7</v>
      </c>
      <c r="AH9" s="1">
        <v>193</v>
      </c>
      <c r="AI9" s="1">
        <v>235</v>
      </c>
      <c r="AJ9" s="1">
        <v>38</v>
      </c>
      <c r="AK9" t="str">
        <f t="shared" si="0"/>
        <v>true</v>
      </c>
    </row>
    <row r="10" spans="1:37" x14ac:dyDescent="0.2">
      <c r="A10" t="s">
        <v>43</v>
      </c>
      <c r="B10" t="s">
        <v>8</v>
      </c>
      <c r="C10" s="2">
        <v>1</v>
      </c>
      <c r="D10" s="2">
        <v>10</v>
      </c>
      <c r="E10" s="2">
        <v>1</v>
      </c>
      <c r="F10" s="2">
        <v>1</v>
      </c>
      <c r="G10" s="2">
        <v>11</v>
      </c>
      <c r="H10" s="1">
        <v>23</v>
      </c>
      <c r="I10" s="1">
        <v>6</v>
      </c>
      <c r="J10" s="1">
        <v>6</v>
      </c>
      <c r="K10" s="1">
        <v>4</v>
      </c>
      <c r="L10" s="1">
        <v>123</v>
      </c>
      <c r="M10" s="1">
        <v>8</v>
      </c>
      <c r="N10" s="1">
        <v>7.0000000000000007E-2</v>
      </c>
      <c r="O10" s="1">
        <v>37</v>
      </c>
      <c r="P10" s="1">
        <v>38</v>
      </c>
      <c r="Q10" s="2">
        <v>0</v>
      </c>
      <c r="R10" s="1">
        <v>75</v>
      </c>
      <c r="S10" s="1">
        <v>61</v>
      </c>
      <c r="T10" s="1">
        <v>12</v>
      </c>
      <c r="U10" s="1">
        <v>12</v>
      </c>
      <c r="V10" s="1">
        <v>781</v>
      </c>
      <c r="W10" s="1">
        <v>340</v>
      </c>
      <c r="X10" s="1">
        <v>441</v>
      </c>
      <c r="Y10" s="1">
        <v>6</v>
      </c>
      <c r="Z10" s="1">
        <v>26</v>
      </c>
      <c r="AA10" s="1">
        <v>151</v>
      </c>
      <c r="AB10" s="1">
        <v>2</v>
      </c>
      <c r="AC10" s="1">
        <v>1</v>
      </c>
      <c r="AD10" s="1">
        <v>12</v>
      </c>
      <c r="AE10" s="1">
        <v>2</v>
      </c>
      <c r="AF10" s="1">
        <v>1</v>
      </c>
      <c r="AG10" s="1">
        <v>9</v>
      </c>
      <c r="AH10" s="1">
        <v>83</v>
      </c>
      <c r="AI10" s="1">
        <v>97</v>
      </c>
      <c r="AJ10" s="1">
        <v>13</v>
      </c>
      <c r="AK10" t="str">
        <f t="shared" si="0"/>
        <v>true</v>
      </c>
    </row>
    <row r="11" spans="1:37" x14ac:dyDescent="0.2">
      <c r="A11" t="s">
        <v>44</v>
      </c>
      <c r="B11" t="s">
        <v>9</v>
      </c>
      <c r="C11" s="2">
        <v>2</v>
      </c>
      <c r="D11" s="2">
        <v>20</v>
      </c>
      <c r="E11" s="2">
        <v>4</v>
      </c>
      <c r="F11" s="2">
        <v>4</v>
      </c>
      <c r="G11" s="2">
        <v>25</v>
      </c>
      <c r="H11" s="1">
        <v>29</v>
      </c>
      <c r="I11" s="1">
        <v>0</v>
      </c>
      <c r="J11" s="1">
        <v>6</v>
      </c>
      <c r="K11" s="1">
        <v>1</v>
      </c>
      <c r="L11" s="1">
        <v>131</v>
      </c>
      <c r="M11" s="1">
        <v>32</v>
      </c>
      <c r="N11" s="1">
        <v>0.24</v>
      </c>
      <c r="O11" s="1">
        <v>51</v>
      </c>
      <c r="P11" s="1">
        <v>49</v>
      </c>
      <c r="Q11" s="2">
        <v>0</v>
      </c>
      <c r="R11" s="1">
        <v>92</v>
      </c>
      <c r="S11" s="1">
        <v>74</v>
      </c>
      <c r="T11" s="1">
        <v>5</v>
      </c>
      <c r="U11" s="1">
        <v>5</v>
      </c>
      <c r="V11" s="1">
        <v>933</v>
      </c>
      <c r="W11" s="1">
        <v>404</v>
      </c>
      <c r="X11" s="1">
        <v>529</v>
      </c>
      <c r="Y11" s="1">
        <v>5</v>
      </c>
      <c r="Z11" s="1">
        <v>11</v>
      </c>
      <c r="AA11" s="1">
        <v>181</v>
      </c>
      <c r="AB11" s="1">
        <v>11</v>
      </c>
      <c r="AC11" s="1">
        <v>3</v>
      </c>
      <c r="AD11" s="1">
        <v>5</v>
      </c>
      <c r="AE11" s="1">
        <v>3</v>
      </c>
      <c r="AF11" s="1">
        <v>1</v>
      </c>
      <c r="AG11" s="1">
        <v>1</v>
      </c>
      <c r="AH11" s="1">
        <v>91</v>
      </c>
      <c r="AI11" s="1">
        <v>108</v>
      </c>
      <c r="AJ11" s="1">
        <v>20</v>
      </c>
      <c r="AK11" t="str">
        <f t="shared" si="0"/>
        <v>true</v>
      </c>
    </row>
    <row r="12" spans="1:37" x14ac:dyDescent="0.2">
      <c r="A12" t="s">
        <v>45</v>
      </c>
      <c r="B12" t="s">
        <v>10</v>
      </c>
      <c r="C12" s="2">
        <v>2</v>
      </c>
      <c r="D12" s="2">
        <v>13</v>
      </c>
      <c r="E12" s="2">
        <v>2</v>
      </c>
      <c r="F12" s="2">
        <v>2</v>
      </c>
      <c r="G12" s="2">
        <v>17</v>
      </c>
      <c r="H12" s="1">
        <v>78</v>
      </c>
      <c r="I12" s="1">
        <v>0</v>
      </c>
      <c r="J12" s="1">
        <v>1</v>
      </c>
      <c r="K12" s="1">
        <v>7</v>
      </c>
      <c r="L12" s="1">
        <v>305</v>
      </c>
      <c r="M12" s="1">
        <v>47</v>
      </c>
      <c r="N12" s="1">
        <v>0.15</v>
      </c>
      <c r="O12" s="1">
        <v>131</v>
      </c>
      <c r="P12" s="1">
        <v>118</v>
      </c>
      <c r="Q12" s="2">
        <v>0</v>
      </c>
      <c r="R12" s="1">
        <v>173</v>
      </c>
      <c r="S12" s="1">
        <v>137</v>
      </c>
      <c r="T12" s="1">
        <v>24</v>
      </c>
      <c r="U12" s="1">
        <v>24</v>
      </c>
      <c r="V12" s="3">
        <v>2108</v>
      </c>
      <c r="W12" s="1">
        <v>909</v>
      </c>
      <c r="X12" s="3">
        <v>1199</v>
      </c>
      <c r="Y12" s="1">
        <v>24</v>
      </c>
      <c r="Z12" s="1">
        <v>24</v>
      </c>
      <c r="AA12" s="1">
        <v>427</v>
      </c>
      <c r="AB12" s="1">
        <v>7</v>
      </c>
      <c r="AC12" s="1">
        <v>3</v>
      </c>
      <c r="AD12" s="1">
        <v>24</v>
      </c>
      <c r="AE12" s="1">
        <v>9</v>
      </c>
      <c r="AF12" s="1">
        <v>7</v>
      </c>
      <c r="AG12" s="1">
        <v>8</v>
      </c>
      <c r="AH12" s="1">
        <v>188</v>
      </c>
      <c r="AI12" s="1">
        <v>230</v>
      </c>
      <c r="AJ12" s="1">
        <v>38</v>
      </c>
      <c r="AK12" t="str">
        <f t="shared" si="0"/>
        <v>true</v>
      </c>
    </row>
    <row r="13" spans="1:37" x14ac:dyDescent="0.2">
      <c r="A13" t="s">
        <v>46</v>
      </c>
      <c r="B13" t="s">
        <v>11</v>
      </c>
      <c r="C13" s="2">
        <v>1</v>
      </c>
      <c r="D13" s="2">
        <v>11</v>
      </c>
      <c r="E13" s="2">
        <v>1</v>
      </c>
      <c r="F13" s="2">
        <v>1</v>
      </c>
      <c r="G13" s="2">
        <v>12</v>
      </c>
      <c r="H13" s="1">
        <v>25</v>
      </c>
      <c r="I13" s="1">
        <v>6</v>
      </c>
      <c r="J13" s="1">
        <v>6</v>
      </c>
      <c r="K13" s="1">
        <v>4</v>
      </c>
      <c r="L13" s="1">
        <v>123</v>
      </c>
      <c r="M13" s="1">
        <v>8</v>
      </c>
      <c r="N13" s="1">
        <v>7.0000000000000007E-2</v>
      </c>
      <c r="O13" s="1">
        <v>35</v>
      </c>
      <c r="P13" s="1">
        <v>36</v>
      </c>
      <c r="Q13" s="2">
        <v>0</v>
      </c>
      <c r="R13" s="1">
        <v>77</v>
      </c>
      <c r="S13" s="1">
        <v>62</v>
      </c>
      <c r="T13" s="1">
        <v>11</v>
      </c>
      <c r="U13" s="1">
        <v>11</v>
      </c>
      <c r="V13" s="1">
        <v>773</v>
      </c>
      <c r="W13" s="1">
        <v>336</v>
      </c>
      <c r="X13" s="1">
        <v>437</v>
      </c>
      <c r="Y13" s="1">
        <v>5</v>
      </c>
      <c r="Z13" s="1">
        <v>26</v>
      </c>
      <c r="AA13" s="1">
        <v>153</v>
      </c>
      <c r="AB13" s="1">
        <v>2</v>
      </c>
      <c r="AC13" s="1">
        <v>1</v>
      </c>
      <c r="AD13" s="1">
        <v>11</v>
      </c>
      <c r="AE13" s="1">
        <v>1</v>
      </c>
      <c r="AF13" s="1">
        <v>1</v>
      </c>
      <c r="AG13" s="1">
        <v>9</v>
      </c>
      <c r="AH13" s="1">
        <v>82</v>
      </c>
      <c r="AI13" s="1">
        <v>96</v>
      </c>
      <c r="AJ13" s="1">
        <v>13</v>
      </c>
      <c r="AK13" t="str">
        <f t="shared" si="0"/>
        <v>true</v>
      </c>
    </row>
    <row r="14" spans="1:37" x14ac:dyDescent="0.2">
      <c r="A14" t="s">
        <v>47</v>
      </c>
      <c r="B14" t="s">
        <v>12</v>
      </c>
      <c r="C14" s="2">
        <v>3</v>
      </c>
      <c r="D14" s="2">
        <v>18</v>
      </c>
      <c r="E14" s="2">
        <v>3</v>
      </c>
      <c r="F14" s="2">
        <v>2</v>
      </c>
      <c r="G14" s="2">
        <v>23</v>
      </c>
      <c r="H14" s="1">
        <v>88</v>
      </c>
      <c r="I14" s="1">
        <v>1</v>
      </c>
      <c r="J14" s="1">
        <v>3</v>
      </c>
      <c r="K14" s="1">
        <v>6</v>
      </c>
      <c r="L14" s="1">
        <v>423</v>
      </c>
      <c r="M14" s="1">
        <v>91</v>
      </c>
      <c r="N14" s="1">
        <v>0.22</v>
      </c>
      <c r="O14" s="1">
        <v>171</v>
      </c>
      <c r="P14" s="1">
        <v>160</v>
      </c>
      <c r="Q14" s="2">
        <v>0</v>
      </c>
      <c r="R14" s="1">
        <v>260</v>
      </c>
      <c r="S14" s="1">
        <v>209</v>
      </c>
      <c r="T14" s="1">
        <v>24</v>
      </c>
      <c r="U14" s="1">
        <v>24</v>
      </c>
      <c r="V14" s="3">
        <v>2956</v>
      </c>
      <c r="W14" s="3">
        <v>1276</v>
      </c>
      <c r="X14" s="3">
        <v>1680</v>
      </c>
      <c r="Y14" s="1">
        <v>23</v>
      </c>
      <c r="Z14" s="1">
        <v>33</v>
      </c>
      <c r="AA14" s="1">
        <v>585</v>
      </c>
      <c r="AB14" s="1">
        <v>10</v>
      </c>
      <c r="AC14" s="1">
        <v>3</v>
      </c>
      <c r="AD14" s="1">
        <v>24</v>
      </c>
      <c r="AE14" s="1">
        <v>6</v>
      </c>
      <c r="AF14" s="1">
        <v>7</v>
      </c>
      <c r="AG14" s="1">
        <v>11</v>
      </c>
      <c r="AH14" s="1">
        <v>277</v>
      </c>
      <c r="AI14" s="1">
        <v>329</v>
      </c>
      <c r="AJ14" s="1">
        <v>48</v>
      </c>
      <c r="AK14" t="str">
        <f t="shared" si="0"/>
        <v>true</v>
      </c>
    </row>
    <row r="15" spans="1:37" x14ac:dyDescent="0.2">
      <c r="A15" t="s">
        <v>48</v>
      </c>
      <c r="B15" t="s">
        <v>13</v>
      </c>
      <c r="C15" s="2">
        <v>3</v>
      </c>
      <c r="D15" s="2">
        <v>18</v>
      </c>
      <c r="E15" s="2">
        <v>3</v>
      </c>
      <c r="F15" s="2">
        <v>2</v>
      </c>
      <c r="G15" s="2">
        <v>23</v>
      </c>
      <c r="H15" s="1">
        <v>90</v>
      </c>
      <c r="I15" s="1">
        <v>1</v>
      </c>
      <c r="J15" s="1">
        <v>3</v>
      </c>
      <c r="K15" s="1">
        <v>6</v>
      </c>
      <c r="L15" s="1">
        <v>425</v>
      </c>
      <c r="M15" s="1">
        <v>74</v>
      </c>
      <c r="N15" s="1">
        <v>0.17</v>
      </c>
      <c r="O15" s="1">
        <v>172</v>
      </c>
      <c r="P15" s="1">
        <v>161</v>
      </c>
      <c r="Q15" s="2">
        <v>0</v>
      </c>
      <c r="R15" s="1">
        <v>261</v>
      </c>
      <c r="S15" s="1">
        <v>211</v>
      </c>
      <c r="T15" s="1">
        <v>24</v>
      </c>
      <c r="U15" s="1">
        <v>24</v>
      </c>
      <c r="V15" s="3">
        <v>2977</v>
      </c>
      <c r="W15" s="3">
        <v>1287</v>
      </c>
      <c r="X15" s="3">
        <v>1690</v>
      </c>
      <c r="Y15" s="1">
        <v>23</v>
      </c>
      <c r="Z15" s="1">
        <v>33</v>
      </c>
      <c r="AA15" s="1">
        <v>572</v>
      </c>
      <c r="AB15" s="1">
        <v>10</v>
      </c>
      <c r="AC15" s="1">
        <v>3</v>
      </c>
      <c r="AD15" s="1">
        <v>24</v>
      </c>
      <c r="AE15" s="1">
        <v>6</v>
      </c>
      <c r="AF15" s="1">
        <v>7</v>
      </c>
      <c r="AG15" s="1">
        <v>11</v>
      </c>
      <c r="AH15" s="1">
        <v>280</v>
      </c>
      <c r="AI15" s="1">
        <v>332</v>
      </c>
      <c r="AJ15" s="1">
        <v>48</v>
      </c>
      <c r="AK15" t="str">
        <f t="shared" si="0"/>
        <v>true</v>
      </c>
    </row>
    <row r="16" spans="1:37" x14ac:dyDescent="0.2">
      <c r="A16" t="s">
        <v>49</v>
      </c>
      <c r="B16" t="s">
        <v>14</v>
      </c>
      <c r="C16" s="2">
        <v>3</v>
      </c>
      <c r="D16" s="2">
        <v>18</v>
      </c>
      <c r="E16" s="2">
        <v>3</v>
      </c>
      <c r="F16" s="2">
        <v>2</v>
      </c>
      <c r="G16" s="2">
        <v>23</v>
      </c>
      <c r="H16" s="1">
        <v>88</v>
      </c>
      <c r="I16" s="1">
        <v>1</v>
      </c>
      <c r="J16" s="1">
        <v>3</v>
      </c>
      <c r="K16" s="1">
        <v>6</v>
      </c>
      <c r="L16" s="1">
        <v>424</v>
      </c>
      <c r="M16" s="1">
        <v>88</v>
      </c>
      <c r="N16" s="1">
        <v>0.21</v>
      </c>
      <c r="O16" s="1">
        <v>171</v>
      </c>
      <c r="P16" s="1">
        <v>160</v>
      </c>
      <c r="Q16" s="2">
        <v>0</v>
      </c>
      <c r="R16" s="1">
        <v>261</v>
      </c>
      <c r="S16" s="1">
        <v>211</v>
      </c>
      <c r="T16" s="1">
        <v>24</v>
      </c>
      <c r="U16" s="1">
        <v>24</v>
      </c>
      <c r="V16" s="3">
        <v>2974</v>
      </c>
      <c r="W16" s="3">
        <v>1285</v>
      </c>
      <c r="X16" s="3">
        <v>1689</v>
      </c>
      <c r="Y16" s="1">
        <v>23</v>
      </c>
      <c r="Z16" s="1">
        <v>33</v>
      </c>
      <c r="AA16" s="1">
        <v>583</v>
      </c>
      <c r="AB16" s="1">
        <v>10</v>
      </c>
      <c r="AC16" s="1">
        <v>3</v>
      </c>
      <c r="AD16" s="1">
        <v>24</v>
      </c>
      <c r="AE16" s="1">
        <v>6</v>
      </c>
      <c r="AF16" s="1">
        <v>7</v>
      </c>
      <c r="AG16" s="1">
        <v>11</v>
      </c>
      <c r="AH16" s="1">
        <v>279</v>
      </c>
      <c r="AI16" s="1">
        <v>331</v>
      </c>
      <c r="AJ16" s="1">
        <v>48</v>
      </c>
      <c r="AK16" t="str">
        <f t="shared" si="0"/>
        <v>true</v>
      </c>
    </row>
    <row r="17" spans="1:37" x14ac:dyDescent="0.2">
      <c r="A17" t="s">
        <v>50</v>
      </c>
      <c r="B17" t="s">
        <v>15</v>
      </c>
      <c r="C17" s="2">
        <v>2</v>
      </c>
      <c r="D17" s="2">
        <v>18</v>
      </c>
      <c r="E17" s="2">
        <v>3</v>
      </c>
      <c r="F17" s="2">
        <v>2</v>
      </c>
      <c r="G17" s="2">
        <v>23</v>
      </c>
      <c r="H17" s="1">
        <v>89</v>
      </c>
      <c r="I17" s="1">
        <v>1</v>
      </c>
      <c r="J17" s="1">
        <v>3</v>
      </c>
      <c r="K17" s="1">
        <v>6</v>
      </c>
      <c r="L17" s="1">
        <v>425</v>
      </c>
      <c r="M17" s="1">
        <v>88</v>
      </c>
      <c r="N17" s="1">
        <v>0.21</v>
      </c>
      <c r="O17" s="1">
        <v>171</v>
      </c>
      <c r="P17" s="1">
        <v>160</v>
      </c>
      <c r="Q17" s="2">
        <v>0</v>
      </c>
      <c r="R17" s="1">
        <v>262</v>
      </c>
      <c r="S17" s="1">
        <v>212</v>
      </c>
      <c r="T17" s="1">
        <v>24</v>
      </c>
      <c r="U17" s="1">
        <v>24</v>
      </c>
      <c r="V17" s="3">
        <v>2977</v>
      </c>
      <c r="W17" s="3">
        <v>1286</v>
      </c>
      <c r="X17" s="3">
        <v>1691</v>
      </c>
      <c r="Y17" s="1">
        <v>23</v>
      </c>
      <c r="Z17" s="1">
        <v>33</v>
      </c>
      <c r="AA17" s="1">
        <v>585</v>
      </c>
      <c r="AB17" s="1">
        <v>10</v>
      </c>
      <c r="AC17" s="1">
        <v>3</v>
      </c>
      <c r="AD17" s="1">
        <v>24</v>
      </c>
      <c r="AE17" s="1">
        <v>6</v>
      </c>
      <c r="AF17" s="1">
        <v>7</v>
      </c>
      <c r="AG17" s="1">
        <v>11</v>
      </c>
      <c r="AH17" s="1">
        <v>280</v>
      </c>
      <c r="AI17" s="1">
        <v>332</v>
      </c>
      <c r="AJ17" s="1">
        <v>48</v>
      </c>
      <c r="AK17" t="str">
        <f t="shared" si="0"/>
        <v>true</v>
      </c>
    </row>
    <row r="18" spans="1:37" x14ac:dyDescent="0.2">
      <c r="A18" t="s">
        <v>51</v>
      </c>
      <c r="B18" t="s">
        <v>16</v>
      </c>
      <c r="C18" s="2">
        <v>2</v>
      </c>
      <c r="D18" s="2">
        <v>18</v>
      </c>
      <c r="E18" s="2">
        <v>3</v>
      </c>
      <c r="F18" s="2">
        <v>2</v>
      </c>
      <c r="G18" s="2">
        <v>23</v>
      </c>
      <c r="H18" s="1">
        <v>87</v>
      </c>
      <c r="I18" s="1">
        <v>1</v>
      </c>
      <c r="J18" s="1">
        <v>3</v>
      </c>
      <c r="K18" s="1">
        <v>6</v>
      </c>
      <c r="L18" s="1">
        <v>424</v>
      </c>
      <c r="M18" s="1">
        <v>87</v>
      </c>
      <c r="N18" s="1">
        <v>0.21</v>
      </c>
      <c r="O18" s="1">
        <v>171</v>
      </c>
      <c r="P18" s="1">
        <v>160</v>
      </c>
      <c r="Q18" s="2">
        <v>0</v>
      </c>
      <c r="R18" s="1">
        <v>261</v>
      </c>
      <c r="S18" s="1">
        <v>211</v>
      </c>
      <c r="T18" s="1">
        <v>24</v>
      </c>
      <c r="U18" s="1">
        <v>24</v>
      </c>
      <c r="V18" s="3">
        <v>2974</v>
      </c>
      <c r="W18" s="3">
        <v>1285</v>
      </c>
      <c r="X18" s="3">
        <v>1689</v>
      </c>
      <c r="Y18" s="1">
        <v>23</v>
      </c>
      <c r="Z18" s="1">
        <v>33</v>
      </c>
      <c r="AA18" s="1">
        <v>581</v>
      </c>
      <c r="AB18" s="1">
        <v>10</v>
      </c>
      <c r="AC18" s="1">
        <v>3</v>
      </c>
      <c r="AD18" s="1">
        <v>24</v>
      </c>
      <c r="AE18" s="1">
        <v>6</v>
      </c>
      <c r="AF18" s="1">
        <v>7</v>
      </c>
      <c r="AG18" s="1">
        <v>11</v>
      </c>
      <c r="AH18" s="1">
        <v>279</v>
      </c>
      <c r="AI18" s="1">
        <v>331</v>
      </c>
      <c r="AJ18" s="1">
        <v>48</v>
      </c>
      <c r="AK18" t="str">
        <f t="shared" si="0"/>
        <v>true</v>
      </c>
    </row>
    <row r="19" spans="1:37" x14ac:dyDescent="0.2">
      <c r="A19" t="s">
        <v>52</v>
      </c>
      <c r="B19" t="s">
        <v>17</v>
      </c>
      <c r="C19" s="2">
        <v>6</v>
      </c>
      <c r="D19" s="2">
        <v>19</v>
      </c>
      <c r="E19" s="2">
        <v>1</v>
      </c>
      <c r="F19" s="2">
        <v>4</v>
      </c>
      <c r="G19" s="2">
        <v>26</v>
      </c>
      <c r="H19" s="1">
        <v>32</v>
      </c>
      <c r="I19" s="1">
        <v>0</v>
      </c>
      <c r="J19" s="1">
        <v>4</v>
      </c>
      <c r="K19" s="1">
        <v>1</v>
      </c>
      <c r="L19" s="1">
        <v>91</v>
      </c>
      <c r="M19" s="1">
        <v>3</v>
      </c>
      <c r="N19" s="1">
        <v>0.03</v>
      </c>
      <c r="O19" s="1">
        <v>45</v>
      </c>
      <c r="P19" s="1">
        <v>42</v>
      </c>
      <c r="Q19" s="2">
        <v>0</v>
      </c>
      <c r="R19" s="1">
        <v>52</v>
      </c>
      <c r="S19" s="1">
        <v>46</v>
      </c>
      <c r="T19" s="1">
        <v>3</v>
      </c>
      <c r="U19" s="1">
        <v>3</v>
      </c>
      <c r="V19" s="1">
        <v>665</v>
      </c>
      <c r="W19" s="1">
        <v>271</v>
      </c>
      <c r="X19" s="1">
        <v>394</v>
      </c>
      <c r="Y19" s="1">
        <v>3</v>
      </c>
      <c r="Z19" s="1">
        <v>10</v>
      </c>
      <c r="AA19" s="1">
        <v>126</v>
      </c>
      <c r="AB19" s="1">
        <v>10</v>
      </c>
      <c r="AC19" s="1">
        <v>1</v>
      </c>
      <c r="AD19" s="1">
        <v>3</v>
      </c>
      <c r="AE19" s="1">
        <v>1</v>
      </c>
      <c r="AF19" s="1">
        <v>1</v>
      </c>
      <c r="AG19" s="1">
        <v>1</v>
      </c>
      <c r="AH19" s="1">
        <v>69</v>
      </c>
      <c r="AI19" s="1">
        <v>82</v>
      </c>
      <c r="AJ19" s="1">
        <v>12</v>
      </c>
      <c r="AK19" t="str">
        <f t="shared" si="0"/>
        <v>true</v>
      </c>
    </row>
    <row r="20" spans="1:37" x14ac:dyDescent="0.2">
      <c r="A20" t="s">
        <v>53</v>
      </c>
      <c r="B20" t="s">
        <v>18</v>
      </c>
      <c r="C20" s="2">
        <v>2</v>
      </c>
      <c r="D20" s="2">
        <v>20</v>
      </c>
      <c r="E20" s="2">
        <v>4</v>
      </c>
      <c r="F20" s="2">
        <v>4</v>
      </c>
      <c r="G20" s="2">
        <v>25</v>
      </c>
      <c r="H20" s="1">
        <v>29</v>
      </c>
      <c r="I20" s="1">
        <v>0</v>
      </c>
      <c r="J20" s="1">
        <v>6</v>
      </c>
      <c r="K20" s="1">
        <v>1</v>
      </c>
      <c r="L20" s="1">
        <v>132</v>
      </c>
      <c r="M20" s="1">
        <v>32</v>
      </c>
      <c r="N20" s="1">
        <v>0.24</v>
      </c>
      <c r="O20" s="1">
        <v>52</v>
      </c>
      <c r="P20" s="1">
        <v>50</v>
      </c>
      <c r="Q20" s="2">
        <v>0</v>
      </c>
      <c r="R20" s="1">
        <v>93</v>
      </c>
      <c r="S20" s="1">
        <v>75</v>
      </c>
      <c r="T20" s="1">
        <v>5</v>
      </c>
      <c r="U20" s="1">
        <v>5</v>
      </c>
      <c r="V20" s="1">
        <v>943</v>
      </c>
      <c r="W20" s="1">
        <v>407</v>
      </c>
      <c r="X20" s="1">
        <v>536</v>
      </c>
      <c r="Y20" s="1">
        <v>5</v>
      </c>
      <c r="Z20" s="1">
        <v>12</v>
      </c>
      <c r="AA20" s="1">
        <v>182</v>
      </c>
      <c r="AB20" s="1">
        <v>11</v>
      </c>
      <c r="AC20" s="1">
        <v>3</v>
      </c>
      <c r="AD20" s="1">
        <v>5</v>
      </c>
      <c r="AE20" s="1">
        <v>3</v>
      </c>
      <c r="AF20" s="1">
        <v>1</v>
      </c>
      <c r="AG20" s="1">
        <v>1</v>
      </c>
      <c r="AH20" s="1">
        <v>92</v>
      </c>
      <c r="AI20" s="1">
        <v>109</v>
      </c>
      <c r="AJ20" s="1">
        <v>20</v>
      </c>
      <c r="AK20" t="str">
        <f t="shared" si="0"/>
        <v>true</v>
      </c>
    </row>
    <row r="21" spans="1:37" x14ac:dyDescent="0.2">
      <c r="A21" t="s">
        <v>54</v>
      </c>
      <c r="B21" t="s">
        <v>19</v>
      </c>
      <c r="C21" s="2">
        <v>3</v>
      </c>
      <c r="D21" s="2">
        <v>20</v>
      </c>
      <c r="E21" s="2">
        <v>4</v>
      </c>
      <c r="F21" s="2">
        <v>4</v>
      </c>
      <c r="G21" s="2">
        <v>26</v>
      </c>
      <c r="H21" s="1">
        <v>36</v>
      </c>
      <c r="I21" s="1">
        <v>0</v>
      </c>
      <c r="J21" s="1">
        <v>6</v>
      </c>
      <c r="K21" s="1">
        <v>1</v>
      </c>
      <c r="L21" s="1">
        <v>134</v>
      </c>
      <c r="M21" s="1">
        <v>38</v>
      </c>
      <c r="N21" s="1">
        <v>0.28000000000000003</v>
      </c>
      <c r="O21" s="1">
        <v>52</v>
      </c>
      <c r="P21" s="1">
        <v>50</v>
      </c>
      <c r="Q21" s="2">
        <v>0</v>
      </c>
      <c r="R21" s="1">
        <v>95</v>
      </c>
      <c r="S21" s="1">
        <v>77</v>
      </c>
      <c r="T21" s="1">
        <v>5</v>
      </c>
      <c r="U21" s="1">
        <v>5</v>
      </c>
      <c r="V21" s="1">
        <v>964</v>
      </c>
      <c r="W21" s="1">
        <v>416</v>
      </c>
      <c r="X21" s="1">
        <v>548</v>
      </c>
      <c r="Y21" s="1">
        <v>5</v>
      </c>
      <c r="Z21" s="1">
        <v>12</v>
      </c>
      <c r="AA21" s="1">
        <v>196</v>
      </c>
      <c r="AB21" s="1">
        <v>11</v>
      </c>
      <c r="AC21" s="1">
        <v>3</v>
      </c>
      <c r="AD21" s="1">
        <v>5</v>
      </c>
      <c r="AE21" s="1">
        <v>3</v>
      </c>
      <c r="AF21" s="1">
        <v>1</v>
      </c>
      <c r="AG21" s="1">
        <v>1</v>
      </c>
      <c r="AH21" s="1">
        <v>93</v>
      </c>
      <c r="AI21" s="1">
        <v>111</v>
      </c>
      <c r="AJ21" s="1">
        <v>21</v>
      </c>
      <c r="AK21" t="str">
        <f t="shared" si="0"/>
        <v>true</v>
      </c>
    </row>
    <row r="22" spans="1:37" x14ac:dyDescent="0.2">
      <c r="A22" t="s">
        <v>55</v>
      </c>
      <c r="B22" t="s">
        <v>20</v>
      </c>
      <c r="C22" s="2">
        <v>3</v>
      </c>
      <c r="D22" s="2">
        <v>18</v>
      </c>
      <c r="E22" s="2">
        <v>0</v>
      </c>
      <c r="F22" s="2">
        <v>1</v>
      </c>
      <c r="G22" s="2">
        <v>21</v>
      </c>
      <c r="H22" s="1">
        <v>6</v>
      </c>
      <c r="I22" s="1">
        <v>0</v>
      </c>
      <c r="J22" s="1">
        <v>0</v>
      </c>
      <c r="K22" s="1">
        <v>1</v>
      </c>
      <c r="L22" s="1">
        <v>23</v>
      </c>
      <c r="M22" s="1">
        <v>0</v>
      </c>
      <c r="N22" s="1">
        <v>0</v>
      </c>
      <c r="O22" s="1">
        <v>10</v>
      </c>
      <c r="P22" s="1">
        <v>4</v>
      </c>
      <c r="Q22" s="2">
        <v>0</v>
      </c>
      <c r="R22" s="1">
        <v>11</v>
      </c>
      <c r="S22" s="1">
        <v>11</v>
      </c>
      <c r="T22" s="1">
        <v>1</v>
      </c>
      <c r="U22" s="1">
        <v>1</v>
      </c>
      <c r="V22" s="1">
        <v>137</v>
      </c>
      <c r="W22" s="1">
        <v>61</v>
      </c>
      <c r="X22" s="1">
        <v>76</v>
      </c>
      <c r="Y22" s="1">
        <v>1</v>
      </c>
      <c r="Z22" s="1">
        <v>11</v>
      </c>
      <c r="AA22" s="1">
        <v>29</v>
      </c>
      <c r="AB22" s="1">
        <v>1</v>
      </c>
      <c r="AC22" s="1">
        <v>0</v>
      </c>
      <c r="AD22" s="1">
        <v>1</v>
      </c>
      <c r="AE22" s="1">
        <v>0</v>
      </c>
      <c r="AF22" s="1">
        <v>0</v>
      </c>
      <c r="AG22" s="1">
        <v>1</v>
      </c>
      <c r="AH22" s="1">
        <v>13</v>
      </c>
      <c r="AI22" s="1">
        <v>15</v>
      </c>
      <c r="AJ22" s="1">
        <v>1</v>
      </c>
      <c r="AK22" t="str">
        <f t="shared" si="0"/>
        <v>true</v>
      </c>
    </row>
    <row r="23" spans="1:37" x14ac:dyDescent="0.2">
      <c r="A23" t="s">
        <v>56</v>
      </c>
      <c r="B23" t="s">
        <v>21</v>
      </c>
      <c r="C23" s="2">
        <v>2</v>
      </c>
      <c r="D23" s="2">
        <v>22</v>
      </c>
      <c r="E23" s="2">
        <v>0</v>
      </c>
      <c r="F23" s="2">
        <v>1</v>
      </c>
      <c r="G23" s="2">
        <v>24</v>
      </c>
      <c r="H23" s="1">
        <v>5</v>
      </c>
      <c r="I23" s="1">
        <v>0</v>
      </c>
      <c r="J23" s="1">
        <v>0</v>
      </c>
      <c r="K23" s="1">
        <v>1</v>
      </c>
      <c r="L23" s="1">
        <v>27</v>
      </c>
      <c r="M23" s="1">
        <v>1</v>
      </c>
      <c r="N23" s="1">
        <v>0.04</v>
      </c>
      <c r="O23" s="1">
        <v>11</v>
      </c>
      <c r="P23" s="1">
        <v>4</v>
      </c>
      <c r="Q23" s="2">
        <v>0</v>
      </c>
      <c r="R23" s="1">
        <v>14</v>
      </c>
      <c r="S23" s="1">
        <v>14</v>
      </c>
      <c r="T23" s="1">
        <v>1</v>
      </c>
      <c r="U23" s="1">
        <v>1</v>
      </c>
      <c r="V23" s="1">
        <v>170</v>
      </c>
      <c r="W23" s="1">
        <v>76</v>
      </c>
      <c r="X23" s="1">
        <v>94</v>
      </c>
      <c r="Y23" s="1">
        <v>1</v>
      </c>
      <c r="Z23" s="1">
        <v>14</v>
      </c>
      <c r="AA23" s="1">
        <v>33</v>
      </c>
      <c r="AB23" s="1">
        <v>1</v>
      </c>
      <c r="AC23" s="1">
        <v>0</v>
      </c>
      <c r="AD23" s="1">
        <v>1</v>
      </c>
      <c r="AE23" s="1">
        <v>0</v>
      </c>
      <c r="AF23" s="1">
        <v>0</v>
      </c>
      <c r="AG23" s="1">
        <v>1</v>
      </c>
      <c r="AH23" s="1">
        <v>16</v>
      </c>
      <c r="AI23" s="1">
        <v>18</v>
      </c>
      <c r="AJ23" s="1">
        <v>1</v>
      </c>
      <c r="AK23" t="str">
        <f t="shared" si="0"/>
        <v>true</v>
      </c>
    </row>
    <row r="24" spans="1:37" x14ac:dyDescent="0.2">
      <c r="A24" t="s">
        <v>57</v>
      </c>
      <c r="B24" t="s">
        <v>22</v>
      </c>
      <c r="C24" s="2">
        <v>1</v>
      </c>
      <c r="D24" s="2">
        <v>8</v>
      </c>
      <c r="E24" s="2">
        <v>6</v>
      </c>
      <c r="F24" s="2">
        <v>1</v>
      </c>
      <c r="G24" s="2">
        <v>14</v>
      </c>
      <c r="H24" s="1">
        <v>8</v>
      </c>
      <c r="I24" s="1">
        <v>0</v>
      </c>
      <c r="J24" s="1">
        <v>0</v>
      </c>
      <c r="K24" s="1">
        <v>1</v>
      </c>
      <c r="L24" s="1">
        <v>28</v>
      </c>
      <c r="M24" s="1">
        <v>11</v>
      </c>
      <c r="N24" s="1">
        <v>0.39</v>
      </c>
      <c r="O24" s="1">
        <v>19</v>
      </c>
      <c r="P24" s="1">
        <v>16</v>
      </c>
      <c r="Q24" s="2">
        <v>0</v>
      </c>
      <c r="R24" s="1">
        <v>9</v>
      </c>
      <c r="S24" s="1">
        <v>8</v>
      </c>
      <c r="T24" s="1">
        <v>2</v>
      </c>
      <c r="U24" s="1">
        <v>2</v>
      </c>
      <c r="V24" s="1">
        <v>221</v>
      </c>
      <c r="W24" s="1">
        <v>100</v>
      </c>
      <c r="X24" s="1">
        <v>121</v>
      </c>
      <c r="Y24" s="1">
        <v>2</v>
      </c>
      <c r="Z24" s="1">
        <v>1</v>
      </c>
      <c r="AA24" s="1">
        <v>47</v>
      </c>
      <c r="AB24" s="1">
        <v>1</v>
      </c>
      <c r="AC24" s="1">
        <v>0</v>
      </c>
      <c r="AD24" s="1">
        <v>2</v>
      </c>
      <c r="AE24" s="1">
        <v>0</v>
      </c>
      <c r="AF24" s="1">
        <v>1</v>
      </c>
      <c r="AG24" s="1">
        <v>1</v>
      </c>
      <c r="AH24" s="1">
        <v>19</v>
      </c>
      <c r="AI24" s="1">
        <v>22</v>
      </c>
      <c r="AJ24" s="1">
        <v>2</v>
      </c>
      <c r="AK24" t="str">
        <f t="shared" si="0"/>
        <v>true</v>
      </c>
    </row>
    <row r="25" spans="1:37" x14ac:dyDescent="0.2">
      <c r="A25" t="s">
        <v>58</v>
      </c>
      <c r="B25" t="s">
        <v>23</v>
      </c>
      <c r="C25" s="2">
        <v>0</v>
      </c>
      <c r="D25" s="2">
        <v>4</v>
      </c>
      <c r="E25" s="2">
        <v>0</v>
      </c>
      <c r="F25" s="2">
        <v>1</v>
      </c>
      <c r="G25" s="2">
        <v>4</v>
      </c>
      <c r="H25" s="1">
        <v>7</v>
      </c>
      <c r="I25" s="1">
        <v>1</v>
      </c>
      <c r="J25" s="1">
        <v>1</v>
      </c>
      <c r="K25" s="1">
        <v>1</v>
      </c>
      <c r="L25" s="1">
        <v>16</v>
      </c>
      <c r="M25" s="1">
        <v>0</v>
      </c>
      <c r="N25" s="1">
        <v>0</v>
      </c>
      <c r="O25" s="1">
        <v>8</v>
      </c>
      <c r="P25" s="1">
        <v>7</v>
      </c>
      <c r="Q25" s="2">
        <v>0</v>
      </c>
      <c r="R25" s="1">
        <v>4</v>
      </c>
      <c r="S25" s="1">
        <v>4</v>
      </c>
      <c r="T25" s="1">
        <v>3</v>
      </c>
      <c r="U25" s="1">
        <v>3</v>
      </c>
      <c r="V25" s="1">
        <v>66</v>
      </c>
      <c r="W25" s="1">
        <v>24</v>
      </c>
      <c r="X25" s="1">
        <v>42</v>
      </c>
      <c r="Y25" s="1">
        <v>2</v>
      </c>
      <c r="Z25" s="1">
        <v>0</v>
      </c>
      <c r="AA25" s="1">
        <v>23</v>
      </c>
      <c r="AB25" s="1">
        <v>1</v>
      </c>
      <c r="AC25" s="1">
        <v>0</v>
      </c>
      <c r="AD25" s="1">
        <v>3</v>
      </c>
      <c r="AE25" s="1">
        <v>0</v>
      </c>
      <c r="AF25" s="1">
        <v>0</v>
      </c>
      <c r="AG25" s="1">
        <v>3</v>
      </c>
      <c r="AH25" s="1">
        <v>7</v>
      </c>
      <c r="AI25" s="1">
        <v>11</v>
      </c>
      <c r="AJ25" s="1">
        <v>3</v>
      </c>
      <c r="AK25" t="str">
        <f t="shared" si="0"/>
        <v>true</v>
      </c>
    </row>
    <row r="26" spans="1:37" x14ac:dyDescent="0.2">
      <c r="A26" t="s">
        <v>59</v>
      </c>
      <c r="B26" t="s">
        <v>24</v>
      </c>
      <c r="C26" s="2">
        <v>1</v>
      </c>
      <c r="D26" s="2">
        <v>3</v>
      </c>
      <c r="E26" s="2">
        <v>0</v>
      </c>
      <c r="F26" s="2">
        <v>1</v>
      </c>
      <c r="G26" s="2">
        <v>4</v>
      </c>
      <c r="H26" s="1">
        <v>11</v>
      </c>
      <c r="I26" s="1">
        <v>0</v>
      </c>
      <c r="J26" s="1">
        <v>0</v>
      </c>
      <c r="K26" s="1">
        <v>1</v>
      </c>
      <c r="L26" s="1">
        <v>31</v>
      </c>
      <c r="M26" s="1">
        <v>0</v>
      </c>
      <c r="N26" s="1">
        <v>0</v>
      </c>
      <c r="O26" s="1">
        <v>23</v>
      </c>
      <c r="P26" s="1">
        <v>18</v>
      </c>
      <c r="Q26" s="2">
        <v>0</v>
      </c>
      <c r="R26" s="1">
        <v>2</v>
      </c>
      <c r="S26" s="1">
        <v>2</v>
      </c>
      <c r="T26" s="1">
        <v>5</v>
      </c>
      <c r="U26" s="1">
        <v>5</v>
      </c>
      <c r="V26" s="1">
        <v>231</v>
      </c>
      <c r="W26" s="1">
        <v>110</v>
      </c>
      <c r="X26" s="1">
        <v>121</v>
      </c>
      <c r="Y26" s="1">
        <v>5</v>
      </c>
      <c r="Z26" s="1">
        <v>0</v>
      </c>
      <c r="AA26" s="1">
        <v>42</v>
      </c>
      <c r="AB26" s="1">
        <v>1</v>
      </c>
      <c r="AC26" s="1">
        <v>0</v>
      </c>
      <c r="AD26" s="1">
        <v>5</v>
      </c>
      <c r="AE26" s="1">
        <v>0</v>
      </c>
      <c r="AF26" s="1">
        <v>0</v>
      </c>
      <c r="AG26" s="1">
        <v>5</v>
      </c>
      <c r="AH26" s="1">
        <v>14</v>
      </c>
      <c r="AI26" s="1">
        <v>20</v>
      </c>
      <c r="AJ26" s="1">
        <v>5</v>
      </c>
      <c r="AK26" t="str">
        <f t="shared" si="0"/>
        <v>true</v>
      </c>
    </row>
    <row r="27" spans="1:37" x14ac:dyDescent="0.2">
      <c r="A27" t="s">
        <v>60</v>
      </c>
      <c r="B27" t="s">
        <v>25</v>
      </c>
      <c r="C27" s="2">
        <v>3</v>
      </c>
      <c r="D27" s="2">
        <v>18</v>
      </c>
      <c r="E27" s="2">
        <v>2</v>
      </c>
      <c r="F27" s="2">
        <v>3</v>
      </c>
      <c r="G27" s="2">
        <v>22</v>
      </c>
      <c r="H27" s="1">
        <v>21</v>
      </c>
      <c r="I27" s="1">
        <v>0</v>
      </c>
      <c r="J27" s="1">
        <v>0</v>
      </c>
      <c r="K27" s="1">
        <v>1</v>
      </c>
      <c r="L27" s="1">
        <v>105</v>
      </c>
      <c r="M27" s="1">
        <v>13</v>
      </c>
      <c r="N27" s="1">
        <v>0.12</v>
      </c>
      <c r="O27" s="1">
        <v>47</v>
      </c>
      <c r="P27" s="1">
        <v>46</v>
      </c>
      <c r="Q27" s="2">
        <v>0</v>
      </c>
      <c r="R27" s="1">
        <v>63</v>
      </c>
      <c r="S27" s="1">
        <v>56</v>
      </c>
      <c r="T27" s="1">
        <v>5</v>
      </c>
      <c r="U27" s="1">
        <v>5</v>
      </c>
      <c r="V27" s="1">
        <v>664</v>
      </c>
      <c r="W27" s="1">
        <v>287</v>
      </c>
      <c r="X27" s="1">
        <v>377</v>
      </c>
      <c r="Y27" s="1">
        <v>5</v>
      </c>
      <c r="Z27" s="1">
        <v>0</v>
      </c>
      <c r="AA27" s="1">
        <v>139</v>
      </c>
      <c r="AB27" s="1">
        <v>4</v>
      </c>
      <c r="AC27" s="1">
        <v>3</v>
      </c>
      <c r="AD27" s="1">
        <v>5</v>
      </c>
      <c r="AE27" s="1">
        <v>1</v>
      </c>
      <c r="AF27" s="1">
        <v>0</v>
      </c>
      <c r="AG27" s="1">
        <v>4</v>
      </c>
      <c r="AH27" s="1">
        <v>65</v>
      </c>
      <c r="AI27" s="1">
        <v>83</v>
      </c>
      <c r="AJ27" s="1">
        <v>16</v>
      </c>
      <c r="AK27" t="str">
        <f t="shared" si="0"/>
        <v>true</v>
      </c>
    </row>
    <row r="28" spans="1:37" x14ac:dyDescent="0.2">
      <c r="A28" t="s">
        <v>61</v>
      </c>
      <c r="B28" t="s">
        <v>26</v>
      </c>
      <c r="C28" s="2">
        <v>5</v>
      </c>
      <c r="D28" s="2">
        <v>22</v>
      </c>
      <c r="E28" s="2">
        <v>1</v>
      </c>
      <c r="F28" s="2">
        <v>4</v>
      </c>
      <c r="G28" s="2">
        <v>28</v>
      </c>
      <c r="H28" s="1">
        <v>21</v>
      </c>
      <c r="I28" s="1">
        <v>0</v>
      </c>
      <c r="J28" s="1">
        <v>0</v>
      </c>
      <c r="K28" s="1">
        <v>2</v>
      </c>
      <c r="L28" s="1">
        <v>82</v>
      </c>
      <c r="M28" s="1">
        <v>3</v>
      </c>
      <c r="N28" s="1">
        <v>0.04</v>
      </c>
      <c r="O28" s="1">
        <v>31</v>
      </c>
      <c r="P28" s="1">
        <v>29</v>
      </c>
      <c r="Q28" s="2">
        <v>0</v>
      </c>
      <c r="R28" s="1">
        <v>52</v>
      </c>
      <c r="S28" s="1">
        <v>47</v>
      </c>
      <c r="T28" s="1">
        <v>3</v>
      </c>
      <c r="U28" s="1">
        <v>3</v>
      </c>
      <c r="V28" s="1">
        <v>612</v>
      </c>
      <c r="W28" s="1">
        <v>248</v>
      </c>
      <c r="X28" s="1">
        <v>364</v>
      </c>
      <c r="Y28" s="1">
        <v>3</v>
      </c>
      <c r="Z28" s="1">
        <v>5</v>
      </c>
      <c r="AA28" s="1">
        <v>105</v>
      </c>
      <c r="AB28" s="1">
        <v>10</v>
      </c>
      <c r="AC28" s="1">
        <v>1</v>
      </c>
      <c r="AD28" s="1">
        <v>3</v>
      </c>
      <c r="AE28" s="1">
        <v>0</v>
      </c>
      <c r="AF28" s="1">
        <v>1</v>
      </c>
      <c r="AG28" s="1">
        <v>2</v>
      </c>
      <c r="AH28" s="1">
        <v>58</v>
      </c>
      <c r="AI28" s="1">
        <v>71</v>
      </c>
      <c r="AJ28" s="1">
        <v>12</v>
      </c>
      <c r="AK28" t="str">
        <f t="shared" si="0"/>
        <v>true</v>
      </c>
    </row>
    <row r="29" spans="1:37" x14ac:dyDescent="0.2">
      <c r="A29" t="s">
        <v>62</v>
      </c>
      <c r="B29" t="s">
        <v>27</v>
      </c>
      <c r="C29" s="2">
        <v>1</v>
      </c>
      <c r="D29" s="2">
        <v>7</v>
      </c>
      <c r="E29" s="2">
        <v>2</v>
      </c>
      <c r="F29" s="2">
        <v>1</v>
      </c>
      <c r="G29" s="2">
        <v>10</v>
      </c>
      <c r="H29" s="1">
        <v>20</v>
      </c>
      <c r="I29" s="1">
        <v>0</v>
      </c>
      <c r="J29" s="1">
        <v>1</v>
      </c>
      <c r="K29" s="1">
        <v>2</v>
      </c>
      <c r="L29" s="1">
        <v>67</v>
      </c>
      <c r="M29" s="1">
        <v>12</v>
      </c>
      <c r="N29" s="1">
        <v>0.18</v>
      </c>
      <c r="O29" s="1">
        <v>29</v>
      </c>
      <c r="P29" s="1">
        <v>26</v>
      </c>
      <c r="Q29" s="2">
        <v>0</v>
      </c>
      <c r="R29" s="1">
        <v>34</v>
      </c>
      <c r="S29" s="1">
        <v>20</v>
      </c>
      <c r="T29" s="1">
        <v>8</v>
      </c>
      <c r="U29" s="1">
        <v>8</v>
      </c>
      <c r="V29" s="1">
        <v>366</v>
      </c>
      <c r="W29" s="1">
        <v>144</v>
      </c>
      <c r="X29" s="1">
        <v>222</v>
      </c>
      <c r="Y29" s="1">
        <v>8</v>
      </c>
      <c r="Z29" s="1">
        <v>0</v>
      </c>
      <c r="AA29" s="1">
        <v>99</v>
      </c>
      <c r="AB29" s="1">
        <v>2</v>
      </c>
      <c r="AC29" s="1">
        <v>1</v>
      </c>
      <c r="AD29" s="1">
        <v>8</v>
      </c>
      <c r="AE29" s="1">
        <v>2</v>
      </c>
      <c r="AF29" s="1">
        <v>2</v>
      </c>
      <c r="AG29" s="1">
        <v>4</v>
      </c>
      <c r="AH29" s="1">
        <v>34</v>
      </c>
      <c r="AI29" s="1">
        <v>44</v>
      </c>
      <c r="AJ29" s="1">
        <v>9</v>
      </c>
      <c r="AK29" t="str">
        <f t="shared" si="0"/>
        <v>true</v>
      </c>
    </row>
    <row r="30" spans="1:37" x14ac:dyDescent="0.2">
      <c r="A30" t="s">
        <v>63</v>
      </c>
      <c r="B30" t="s">
        <v>28</v>
      </c>
      <c r="C30" s="2">
        <v>3</v>
      </c>
      <c r="D30" s="2">
        <v>10</v>
      </c>
      <c r="E30" s="2">
        <v>5</v>
      </c>
      <c r="F30" s="2">
        <v>1</v>
      </c>
      <c r="G30" s="2">
        <v>18</v>
      </c>
      <c r="H30" s="1">
        <v>10</v>
      </c>
      <c r="I30" s="1">
        <v>0</v>
      </c>
      <c r="J30" s="1">
        <v>1</v>
      </c>
      <c r="K30" s="1">
        <v>2</v>
      </c>
      <c r="L30" s="1">
        <v>23</v>
      </c>
      <c r="M30" s="1">
        <v>7</v>
      </c>
      <c r="N30" s="1">
        <v>0.3</v>
      </c>
      <c r="O30" s="1">
        <v>11</v>
      </c>
      <c r="P30" s="1">
        <v>11</v>
      </c>
      <c r="Q30" s="2">
        <v>0</v>
      </c>
      <c r="R30" s="1">
        <v>11</v>
      </c>
      <c r="S30" s="1">
        <v>6</v>
      </c>
      <c r="T30" s="1">
        <v>2</v>
      </c>
      <c r="U30" s="1">
        <v>2</v>
      </c>
      <c r="V30" s="1">
        <v>124</v>
      </c>
      <c r="W30" s="1">
        <v>48</v>
      </c>
      <c r="X30" s="1">
        <v>76</v>
      </c>
      <c r="Y30" s="1">
        <v>2</v>
      </c>
      <c r="Z30" s="1">
        <v>0</v>
      </c>
      <c r="AA30" s="1">
        <v>40</v>
      </c>
      <c r="AB30" s="1">
        <v>1</v>
      </c>
      <c r="AC30" s="1">
        <v>0</v>
      </c>
      <c r="AD30" s="1">
        <v>2</v>
      </c>
      <c r="AE30" s="1">
        <v>0</v>
      </c>
      <c r="AF30" s="1">
        <v>1</v>
      </c>
      <c r="AG30" s="1">
        <v>1</v>
      </c>
      <c r="AH30" s="1">
        <v>13</v>
      </c>
      <c r="AI30" s="1">
        <v>16</v>
      </c>
      <c r="AJ30" s="1">
        <v>2</v>
      </c>
      <c r="AK30" t="str">
        <f t="shared" si="0"/>
        <v>true</v>
      </c>
    </row>
    <row r="31" spans="1:37" x14ac:dyDescent="0.2">
      <c r="A31" t="s">
        <v>64</v>
      </c>
      <c r="B31" t="s">
        <v>29</v>
      </c>
      <c r="C31" s="2">
        <v>2</v>
      </c>
      <c r="D31" s="2">
        <v>17</v>
      </c>
      <c r="E31" s="2">
        <v>3</v>
      </c>
      <c r="F31" s="2">
        <v>2</v>
      </c>
      <c r="G31" s="2">
        <v>22</v>
      </c>
      <c r="H31" s="1">
        <v>91</v>
      </c>
      <c r="I31" s="1">
        <v>1</v>
      </c>
      <c r="J31" s="1">
        <v>3</v>
      </c>
      <c r="K31" s="1">
        <v>6</v>
      </c>
      <c r="L31" s="1">
        <v>436</v>
      </c>
      <c r="M31" s="1">
        <v>88</v>
      </c>
      <c r="N31" s="1">
        <v>0.2</v>
      </c>
      <c r="O31" s="1">
        <v>176</v>
      </c>
      <c r="P31" s="1">
        <v>164</v>
      </c>
      <c r="Q31" s="2">
        <v>0</v>
      </c>
      <c r="R31" s="1">
        <v>267</v>
      </c>
      <c r="S31" s="1">
        <v>217</v>
      </c>
      <c r="T31" s="1">
        <v>26</v>
      </c>
      <c r="U31" s="1">
        <v>26</v>
      </c>
      <c r="V31" s="3">
        <v>3051</v>
      </c>
      <c r="W31" s="3">
        <v>1321</v>
      </c>
      <c r="X31" s="3">
        <v>1730</v>
      </c>
      <c r="Y31" s="1">
        <v>25</v>
      </c>
      <c r="Z31" s="1">
        <v>33</v>
      </c>
      <c r="AA31" s="1">
        <v>597</v>
      </c>
      <c r="AB31" s="1">
        <v>10</v>
      </c>
      <c r="AC31" s="1">
        <v>3</v>
      </c>
      <c r="AD31" s="1">
        <v>26</v>
      </c>
      <c r="AE31" s="1">
        <v>7</v>
      </c>
      <c r="AF31" s="1">
        <v>7</v>
      </c>
      <c r="AG31" s="1">
        <v>12</v>
      </c>
      <c r="AH31" s="1">
        <v>286</v>
      </c>
      <c r="AI31" s="1">
        <v>340</v>
      </c>
      <c r="AJ31" s="1">
        <v>50</v>
      </c>
      <c r="AK31" t="str">
        <f t="shared" si="0"/>
        <v>true</v>
      </c>
    </row>
    <row r="32" spans="1:37" x14ac:dyDescent="0.2">
      <c r="A32" t="s">
        <v>65</v>
      </c>
      <c r="B32" t="s">
        <v>30</v>
      </c>
      <c r="C32" s="2">
        <v>2</v>
      </c>
      <c r="D32" s="2">
        <v>12</v>
      </c>
      <c r="E32" s="2">
        <v>1</v>
      </c>
      <c r="F32" s="2">
        <v>2</v>
      </c>
      <c r="G32" s="2">
        <v>15</v>
      </c>
      <c r="H32" s="1">
        <v>61</v>
      </c>
      <c r="I32" s="1">
        <v>0</v>
      </c>
      <c r="J32" s="1">
        <v>0</v>
      </c>
      <c r="K32" s="1">
        <v>6</v>
      </c>
      <c r="L32" s="1">
        <v>255</v>
      </c>
      <c r="M32" s="1">
        <v>37</v>
      </c>
      <c r="N32" s="1">
        <v>0.15</v>
      </c>
      <c r="O32" s="1">
        <v>115</v>
      </c>
      <c r="P32" s="1">
        <v>105</v>
      </c>
      <c r="Q32" s="2">
        <v>0</v>
      </c>
      <c r="R32" s="1">
        <v>136</v>
      </c>
      <c r="S32" s="1">
        <v>109</v>
      </c>
      <c r="T32" s="1">
        <v>21</v>
      </c>
      <c r="U32" s="1">
        <v>21</v>
      </c>
      <c r="V32" s="3">
        <v>1687</v>
      </c>
      <c r="W32" s="1">
        <v>722</v>
      </c>
      <c r="X32" s="1">
        <v>965</v>
      </c>
      <c r="Y32" s="1">
        <v>21</v>
      </c>
      <c r="Z32" s="1">
        <v>23</v>
      </c>
      <c r="AA32" s="1">
        <v>352</v>
      </c>
      <c r="AB32" s="1">
        <v>7</v>
      </c>
      <c r="AC32" s="1">
        <v>3</v>
      </c>
      <c r="AD32" s="1">
        <v>21</v>
      </c>
      <c r="AE32" s="1">
        <v>8</v>
      </c>
      <c r="AF32" s="1">
        <v>7</v>
      </c>
      <c r="AG32" s="1">
        <v>6</v>
      </c>
      <c r="AH32" s="1">
        <v>156</v>
      </c>
      <c r="AI32" s="1">
        <v>193</v>
      </c>
      <c r="AJ32" s="1">
        <v>33</v>
      </c>
      <c r="AK32" t="str">
        <f t="shared" si="0"/>
        <v>true</v>
      </c>
    </row>
    <row r="33" spans="1:37" x14ac:dyDescent="0.2">
      <c r="A33" t="s">
        <v>66</v>
      </c>
      <c r="B33" t="s">
        <v>31</v>
      </c>
      <c r="C33" s="2">
        <v>6</v>
      </c>
      <c r="D33" s="2">
        <v>21</v>
      </c>
      <c r="E33" s="2">
        <v>5</v>
      </c>
      <c r="F33" s="2">
        <v>4</v>
      </c>
      <c r="G33" s="2">
        <v>31</v>
      </c>
      <c r="H33" s="1">
        <v>37</v>
      </c>
      <c r="I33" s="1">
        <v>0</v>
      </c>
      <c r="J33" s="1">
        <v>0</v>
      </c>
      <c r="K33" s="1">
        <v>1</v>
      </c>
      <c r="L33" s="1">
        <v>92</v>
      </c>
      <c r="M33" s="1">
        <v>15</v>
      </c>
      <c r="N33" s="1">
        <v>0.16</v>
      </c>
      <c r="O33" s="1">
        <v>41</v>
      </c>
      <c r="P33" s="1">
        <v>37</v>
      </c>
      <c r="Q33" s="2">
        <v>0</v>
      </c>
      <c r="R33" s="1">
        <v>54</v>
      </c>
      <c r="S33" s="1">
        <v>52</v>
      </c>
      <c r="T33" s="1">
        <v>3</v>
      </c>
      <c r="U33" s="1">
        <v>3</v>
      </c>
      <c r="V33" s="1">
        <v>680</v>
      </c>
      <c r="W33" s="1">
        <v>281</v>
      </c>
      <c r="X33" s="1">
        <v>399</v>
      </c>
      <c r="Y33" s="1">
        <v>3</v>
      </c>
      <c r="Z33" s="1">
        <v>16</v>
      </c>
      <c r="AA33" s="1">
        <v>142</v>
      </c>
      <c r="AB33" s="1">
        <v>10</v>
      </c>
      <c r="AC33" s="1">
        <v>1</v>
      </c>
      <c r="AD33" s="1">
        <v>3</v>
      </c>
      <c r="AE33" s="1">
        <v>1</v>
      </c>
      <c r="AF33" s="1">
        <v>1</v>
      </c>
      <c r="AG33" s="1">
        <v>1</v>
      </c>
      <c r="AH33" s="1">
        <v>69</v>
      </c>
      <c r="AI33" s="1">
        <v>82</v>
      </c>
      <c r="AJ33" s="1">
        <v>12</v>
      </c>
      <c r="AK33" t="str">
        <f t="shared" si="0"/>
        <v>true</v>
      </c>
    </row>
    <row r="34" spans="1:37" x14ac:dyDescent="0.2">
      <c r="A34" t="s">
        <v>67</v>
      </c>
      <c r="B34" t="s">
        <v>32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>
        <v>31</v>
      </c>
      <c r="I34" s="1">
        <v>0</v>
      </c>
      <c r="J34" s="1">
        <v>60</v>
      </c>
      <c r="K34" s="1">
        <v>1</v>
      </c>
      <c r="L34" s="1">
        <v>63</v>
      </c>
      <c r="M34" s="1">
        <v>53</v>
      </c>
      <c r="N34" s="1">
        <v>0.84</v>
      </c>
      <c r="O34" s="1">
        <v>62</v>
      </c>
      <c r="P34" s="1">
        <v>62</v>
      </c>
      <c r="Q34" s="2">
        <v>0</v>
      </c>
      <c r="R34" s="1">
        <v>60</v>
      </c>
      <c r="S34" s="1">
        <v>0</v>
      </c>
      <c r="T34" s="1">
        <v>0</v>
      </c>
      <c r="U34" s="1">
        <v>0</v>
      </c>
      <c r="V34" s="1">
        <v>531</v>
      </c>
      <c r="W34" s="1">
        <v>204</v>
      </c>
      <c r="X34" s="1">
        <v>327</v>
      </c>
      <c r="Y34" s="1">
        <v>0</v>
      </c>
      <c r="Z34" s="1">
        <v>0</v>
      </c>
      <c r="AA34" s="1">
        <v>111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61</v>
      </c>
      <c r="AI34" s="1">
        <v>62</v>
      </c>
      <c r="AJ34" s="1">
        <v>0</v>
      </c>
      <c r="AK34" t="str">
        <f t="shared" si="0"/>
        <v>false</v>
      </c>
    </row>
  </sheetData>
  <conditionalFormatting sqref="C1:AJ1">
    <cfRule type="duplicateValues" dxfId="2" priority="3"/>
  </conditionalFormatting>
  <conditionalFormatting sqref="AK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C4F3-E97D-9549-9902-9301C4558764}">
  <dimension ref="A1:AJ34"/>
  <sheetViews>
    <sheetView workbookViewId="0">
      <selection activeCell="V27" sqref="V27"/>
    </sheetView>
  </sheetViews>
  <sheetFormatPr baseColWidth="10" defaultRowHeight="16" x14ac:dyDescent="0.2"/>
  <cols>
    <col min="1" max="1" width="4.83203125" customWidth="1"/>
    <col min="2" max="2" width="4" bestFit="1" customWidth="1"/>
    <col min="3" max="3" width="5" bestFit="1" customWidth="1"/>
    <col min="4" max="4" width="3.83203125" bestFit="1" customWidth="1"/>
    <col min="5" max="5" width="4.33203125" bestFit="1" customWidth="1"/>
    <col min="6" max="6" width="3.5" bestFit="1" customWidth="1"/>
    <col min="7" max="7" width="4.6640625" bestFit="1" customWidth="1"/>
    <col min="8" max="8" width="4.1640625" bestFit="1" customWidth="1"/>
    <col min="9" max="10" width="3.5" bestFit="1" customWidth="1"/>
    <col min="11" max="12" width="4.6640625" bestFit="1" customWidth="1"/>
    <col min="13" max="13" width="5.83203125" bestFit="1" customWidth="1"/>
    <col min="14" max="15" width="4.6640625" bestFit="1" customWidth="1"/>
    <col min="16" max="16" width="4" bestFit="1" customWidth="1"/>
    <col min="17" max="18" width="4.6640625" bestFit="1" customWidth="1"/>
    <col min="19" max="20" width="3.5" bestFit="1" customWidth="1"/>
    <col min="21" max="23" width="6.33203125" bestFit="1" customWidth="1"/>
    <col min="24" max="25" width="3.5" bestFit="1" customWidth="1"/>
    <col min="26" max="26" width="4.6640625" bestFit="1" customWidth="1"/>
    <col min="27" max="27" width="5.33203125" bestFit="1" customWidth="1"/>
    <col min="28" max="28" width="4.1640625" bestFit="1" customWidth="1"/>
    <col min="29" max="29" width="3.5" bestFit="1" customWidth="1"/>
    <col min="30" max="30" width="5.33203125" bestFit="1" customWidth="1"/>
    <col min="31" max="31" width="5" bestFit="1" customWidth="1"/>
    <col min="32" max="32" width="5.33203125" bestFit="1" customWidth="1"/>
    <col min="33" max="35" width="4.6640625" bestFit="1" customWidth="1"/>
  </cols>
  <sheetData>
    <row r="1" spans="1:36" x14ac:dyDescent="0.2">
      <c r="A1" t="s">
        <v>136</v>
      </c>
      <c r="B1" s="2" t="s">
        <v>102</v>
      </c>
      <c r="C1" s="2" t="s">
        <v>104</v>
      </c>
      <c r="D1" s="2" t="s">
        <v>103</v>
      </c>
      <c r="E1" s="2" t="s">
        <v>105</v>
      </c>
      <c r="F1" s="2" t="s">
        <v>106</v>
      </c>
      <c r="G1" s="1" t="s">
        <v>107</v>
      </c>
      <c r="H1" s="1" t="s">
        <v>108</v>
      </c>
      <c r="I1" s="1" t="s">
        <v>109</v>
      </c>
      <c r="J1" s="1" t="s">
        <v>112</v>
      </c>
      <c r="K1" s="1" t="s">
        <v>110</v>
      </c>
      <c r="L1" s="1" t="s">
        <v>113</v>
      </c>
      <c r="M1" s="1" t="s">
        <v>114</v>
      </c>
      <c r="N1" s="1" t="s">
        <v>115</v>
      </c>
      <c r="O1" s="1" t="s">
        <v>116</v>
      </c>
      <c r="P1" s="2" t="s">
        <v>117</v>
      </c>
      <c r="Q1" s="1" t="s">
        <v>118</v>
      </c>
      <c r="R1" s="1" t="s">
        <v>119</v>
      </c>
      <c r="S1" s="1" t="s">
        <v>124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111</v>
      </c>
      <c r="AI1" s="1" t="s">
        <v>135</v>
      </c>
      <c r="AJ1" s="1" t="s">
        <v>139</v>
      </c>
    </row>
    <row r="2" spans="1:36" x14ac:dyDescent="0.2">
      <c r="A2" t="s">
        <v>35</v>
      </c>
      <c r="B2" s="2">
        <v>1</v>
      </c>
      <c r="C2" s="2">
        <v>11</v>
      </c>
      <c r="D2" s="2">
        <v>1</v>
      </c>
      <c r="E2" s="2">
        <v>1</v>
      </c>
      <c r="F2" s="2">
        <v>13</v>
      </c>
      <c r="G2" s="1">
        <v>41</v>
      </c>
      <c r="H2" s="1">
        <v>6</v>
      </c>
      <c r="I2" s="1">
        <v>6</v>
      </c>
      <c r="J2" s="1">
        <v>5</v>
      </c>
      <c r="K2" s="1">
        <v>203</v>
      </c>
      <c r="L2" s="1">
        <v>23</v>
      </c>
      <c r="M2" s="1">
        <v>0.11</v>
      </c>
      <c r="N2" s="1">
        <v>89</v>
      </c>
      <c r="O2" s="1">
        <v>83</v>
      </c>
      <c r="P2" s="2">
        <v>0</v>
      </c>
      <c r="Q2" s="1">
        <v>116</v>
      </c>
      <c r="R2" s="1">
        <v>102</v>
      </c>
      <c r="S2" s="1">
        <v>19</v>
      </c>
      <c r="T2" s="1">
        <v>19</v>
      </c>
      <c r="U2" s="3">
        <v>1256</v>
      </c>
      <c r="V2" s="1">
        <v>557</v>
      </c>
      <c r="W2" s="1">
        <v>699</v>
      </c>
      <c r="X2" s="1">
        <v>13</v>
      </c>
      <c r="Y2" s="1">
        <v>26</v>
      </c>
      <c r="Z2" s="1">
        <v>260</v>
      </c>
      <c r="AA2" s="1">
        <v>3</v>
      </c>
      <c r="AB2" s="1">
        <v>1</v>
      </c>
      <c r="AC2" s="1">
        <v>19</v>
      </c>
      <c r="AD2" s="1">
        <v>4</v>
      </c>
      <c r="AE2" s="1">
        <v>7</v>
      </c>
      <c r="AF2" s="1">
        <v>8</v>
      </c>
      <c r="AG2" s="1">
        <v>133</v>
      </c>
      <c r="AH2" s="1">
        <v>159</v>
      </c>
      <c r="AI2" s="1">
        <v>23</v>
      </c>
      <c r="AJ2" t="str">
        <f>IF(AI2&gt;0,"true","false")</f>
        <v>true</v>
      </c>
    </row>
    <row r="3" spans="1:36" x14ac:dyDescent="0.2">
      <c r="A3" t="s">
        <v>36</v>
      </c>
      <c r="B3" s="2">
        <v>2</v>
      </c>
      <c r="C3" s="2">
        <v>14</v>
      </c>
      <c r="D3" s="2">
        <v>1</v>
      </c>
      <c r="E3" s="2">
        <v>2</v>
      </c>
      <c r="F3" s="2">
        <v>16</v>
      </c>
      <c r="G3" s="1">
        <v>38</v>
      </c>
      <c r="H3" s="1">
        <v>4</v>
      </c>
      <c r="I3" s="1">
        <v>6</v>
      </c>
      <c r="J3" s="1">
        <v>5</v>
      </c>
      <c r="K3" s="1">
        <v>183</v>
      </c>
      <c r="L3" s="1">
        <v>14</v>
      </c>
      <c r="M3" s="1">
        <v>0.08</v>
      </c>
      <c r="N3" s="1">
        <v>70</v>
      </c>
      <c r="O3" s="1">
        <v>68</v>
      </c>
      <c r="P3" s="2">
        <v>0</v>
      </c>
      <c r="Q3" s="1">
        <v>108</v>
      </c>
      <c r="R3" s="1">
        <v>85</v>
      </c>
      <c r="S3" s="1">
        <v>13</v>
      </c>
      <c r="T3" s="1">
        <v>13</v>
      </c>
      <c r="U3" s="3">
        <v>1170</v>
      </c>
      <c r="V3" s="1">
        <v>498</v>
      </c>
      <c r="W3" s="1">
        <v>672</v>
      </c>
      <c r="X3" s="1">
        <v>9</v>
      </c>
      <c r="Y3" s="1">
        <v>27</v>
      </c>
      <c r="Z3" s="1">
        <v>227</v>
      </c>
      <c r="AA3" s="1">
        <v>10</v>
      </c>
      <c r="AB3" s="1">
        <v>2</v>
      </c>
      <c r="AC3" s="1">
        <v>13</v>
      </c>
      <c r="AD3" s="1">
        <v>2</v>
      </c>
      <c r="AE3" s="1">
        <v>4</v>
      </c>
      <c r="AF3" s="1">
        <v>7</v>
      </c>
      <c r="AG3" s="1">
        <v>111</v>
      </c>
      <c r="AH3" s="1">
        <v>135</v>
      </c>
      <c r="AI3" s="1">
        <v>22</v>
      </c>
      <c r="AJ3" t="str">
        <f t="shared" ref="AJ3:AJ34" si="0">IF(AI3&gt;0,"true","false")</f>
        <v>true</v>
      </c>
    </row>
    <row r="4" spans="1:36" x14ac:dyDescent="0.2">
      <c r="A4" t="s">
        <v>37</v>
      </c>
      <c r="B4" s="2">
        <v>3</v>
      </c>
      <c r="C4" s="2">
        <v>18</v>
      </c>
      <c r="D4" s="2">
        <v>4</v>
      </c>
      <c r="E4" s="2">
        <v>2</v>
      </c>
      <c r="F4" s="2">
        <v>23</v>
      </c>
      <c r="G4" s="1">
        <v>125</v>
      </c>
      <c r="H4" s="1">
        <v>1</v>
      </c>
      <c r="I4" s="1">
        <v>4</v>
      </c>
      <c r="J4" s="1">
        <v>9</v>
      </c>
      <c r="K4" s="1">
        <v>604</v>
      </c>
      <c r="L4" s="1">
        <v>119</v>
      </c>
      <c r="M4" s="1">
        <v>0.2</v>
      </c>
      <c r="N4" s="1">
        <v>218</v>
      </c>
      <c r="O4" s="1">
        <v>199</v>
      </c>
      <c r="P4" s="2">
        <v>0</v>
      </c>
      <c r="Q4" s="1">
        <v>410</v>
      </c>
      <c r="R4" s="1">
        <v>310</v>
      </c>
      <c r="S4" s="1">
        <v>37</v>
      </c>
      <c r="T4" s="1">
        <v>37</v>
      </c>
      <c r="U4" s="3">
        <v>4463</v>
      </c>
      <c r="V4" s="3">
        <v>1919</v>
      </c>
      <c r="W4" s="3">
        <v>2544</v>
      </c>
      <c r="X4" s="1">
        <v>36</v>
      </c>
      <c r="Y4" s="1">
        <v>32</v>
      </c>
      <c r="Z4" s="1">
        <v>818</v>
      </c>
      <c r="AA4" s="1">
        <v>11</v>
      </c>
      <c r="AB4" s="1">
        <v>4</v>
      </c>
      <c r="AC4" s="1">
        <v>37</v>
      </c>
      <c r="AD4" s="1">
        <v>11</v>
      </c>
      <c r="AE4" s="1">
        <v>13</v>
      </c>
      <c r="AF4" s="1">
        <v>13</v>
      </c>
      <c r="AG4" s="1">
        <v>367</v>
      </c>
      <c r="AH4" s="1">
        <v>441</v>
      </c>
      <c r="AI4" s="1">
        <v>68</v>
      </c>
      <c r="AJ4" t="str">
        <f t="shared" si="0"/>
        <v>true</v>
      </c>
    </row>
    <row r="5" spans="1:36" x14ac:dyDescent="0.2">
      <c r="A5" t="s">
        <v>38</v>
      </c>
      <c r="B5" s="2">
        <v>1</v>
      </c>
      <c r="C5" s="2">
        <v>10</v>
      </c>
      <c r="D5" s="2">
        <v>0</v>
      </c>
      <c r="E5" s="2">
        <v>2</v>
      </c>
      <c r="F5" s="2">
        <v>10</v>
      </c>
      <c r="G5" s="1">
        <v>8</v>
      </c>
      <c r="H5" s="1">
        <v>1</v>
      </c>
      <c r="I5" s="1">
        <v>1</v>
      </c>
      <c r="J5" s="1">
        <v>2</v>
      </c>
      <c r="K5" s="1">
        <v>31</v>
      </c>
      <c r="L5" s="1">
        <v>0</v>
      </c>
      <c r="M5" s="1">
        <v>0</v>
      </c>
      <c r="N5" s="1">
        <v>22</v>
      </c>
      <c r="O5" s="1">
        <v>17</v>
      </c>
      <c r="P5" s="2">
        <v>1</v>
      </c>
      <c r="Q5" s="1">
        <v>12</v>
      </c>
      <c r="R5" s="1">
        <v>8</v>
      </c>
      <c r="S5" s="1">
        <v>2</v>
      </c>
      <c r="T5" s="1">
        <v>3</v>
      </c>
      <c r="U5" s="1">
        <v>163</v>
      </c>
      <c r="V5" s="1">
        <v>67</v>
      </c>
      <c r="W5" s="1">
        <v>96</v>
      </c>
      <c r="X5" s="1">
        <v>2</v>
      </c>
      <c r="Y5" s="1">
        <v>0</v>
      </c>
      <c r="Z5" s="1">
        <v>39</v>
      </c>
      <c r="AA5" s="1">
        <v>2</v>
      </c>
      <c r="AB5" s="1">
        <v>1</v>
      </c>
      <c r="AC5" s="1">
        <v>3</v>
      </c>
      <c r="AD5" s="1">
        <v>0</v>
      </c>
      <c r="AE5" s="1">
        <v>0</v>
      </c>
      <c r="AF5" s="1">
        <v>2</v>
      </c>
      <c r="AG5" s="1">
        <v>15</v>
      </c>
      <c r="AH5" s="1">
        <v>20</v>
      </c>
      <c r="AI5" s="1">
        <v>3</v>
      </c>
      <c r="AJ5" t="str">
        <f t="shared" si="0"/>
        <v>true</v>
      </c>
    </row>
    <row r="6" spans="1:36" x14ac:dyDescent="0.2">
      <c r="A6" t="s">
        <v>39</v>
      </c>
      <c r="B6" s="2">
        <v>2</v>
      </c>
      <c r="C6" s="2">
        <v>13</v>
      </c>
      <c r="D6" s="2">
        <v>2</v>
      </c>
      <c r="E6" s="2">
        <v>2</v>
      </c>
      <c r="F6" s="2">
        <v>17</v>
      </c>
      <c r="G6" s="1">
        <v>77</v>
      </c>
      <c r="H6" s="1">
        <v>0</v>
      </c>
      <c r="I6" s="1">
        <v>1</v>
      </c>
      <c r="J6" s="1">
        <v>6</v>
      </c>
      <c r="K6" s="1">
        <v>306</v>
      </c>
      <c r="L6" s="1">
        <v>50</v>
      </c>
      <c r="M6" s="1">
        <v>0.16</v>
      </c>
      <c r="N6" s="1">
        <v>132</v>
      </c>
      <c r="O6" s="1">
        <v>119</v>
      </c>
      <c r="P6" s="2">
        <v>0</v>
      </c>
      <c r="Q6" s="1">
        <v>172</v>
      </c>
      <c r="R6" s="1">
        <v>141</v>
      </c>
      <c r="S6" s="1">
        <v>23</v>
      </c>
      <c r="T6" s="1">
        <v>23</v>
      </c>
      <c r="U6" s="3">
        <v>2102</v>
      </c>
      <c r="V6" s="1">
        <v>905</v>
      </c>
      <c r="W6" s="3">
        <v>1197</v>
      </c>
      <c r="X6" s="1">
        <v>23</v>
      </c>
      <c r="Y6" s="1">
        <v>24</v>
      </c>
      <c r="Z6" s="1">
        <v>430</v>
      </c>
      <c r="AA6" s="1">
        <v>7</v>
      </c>
      <c r="AB6" s="1">
        <v>3</v>
      </c>
      <c r="AC6" s="1">
        <v>23</v>
      </c>
      <c r="AD6" s="1">
        <v>9</v>
      </c>
      <c r="AE6" s="1">
        <v>7</v>
      </c>
      <c r="AF6" s="1">
        <v>7</v>
      </c>
      <c r="AG6" s="1">
        <v>193</v>
      </c>
      <c r="AH6" s="1">
        <v>235</v>
      </c>
      <c r="AI6" s="1">
        <v>38</v>
      </c>
      <c r="AJ6" t="str">
        <f t="shared" si="0"/>
        <v>true</v>
      </c>
    </row>
    <row r="7" spans="1:36" x14ac:dyDescent="0.2">
      <c r="A7" t="s">
        <v>40</v>
      </c>
      <c r="B7" s="2">
        <v>1</v>
      </c>
      <c r="C7" s="2">
        <v>10</v>
      </c>
      <c r="D7" s="2">
        <v>1</v>
      </c>
      <c r="E7" s="2">
        <v>1</v>
      </c>
      <c r="F7" s="2">
        <v>12</v>
      </c>
      <c r="G7" s="1">
        <v>23</v>
      </c>
      <c r="H7" s="1">
        <v>6</v>
      </c>
      <c r="I7" s="1">
        <v>6</v>
      </c>
      <c r="J7" s="1">
        <v>4</v>
      </c>
      <c r="K7" s="1">
        <v>119</v>
      </c>
      <c r="L7" s="1">
        <v>8</v>
      </c>
      <c r="M7" s="1">
        <v>7.0000000000000007E-2</v>
      </c>
      <c r="N7" s="1">
        <v>35</v>
      </c>
      <c r="O7" s="1">
        <v>36</v>
      </c>
      <c r="P7" s="2">
        <v>0</v>
      </c>
      <c r="Q7" s="1">
        <v>74</v>
      </c>
      <c r="R7" s="1">
        <v>60</v>
      </c>
      <c r="S7" s="1">
        <v>11</v>
      </c>
      <c r="T7" s="1">
        <v>11</v>
      </c>
      <c r="U7" s="1">
        <v>752</v>
      </c>
      <c r="V7" s="1">
        <v>328</v>
      </c>
      <c r="W7" s="1">
        <v>424</v>
      </c>
      <c r="X7" s="1">
        <v>5</v>
      </c>
      <c r="Y7" s="1">
        <v>26</v>
      </c>
      <c r="Z7" s="1">
        <v>147</v>
      </c>
      <c r="AA7" s="1">
        <v>2</v>
      </c>
      <c r="AB7" s="1">
        <v>1</v>
      </c>
      <c r="AC7" s="1">
        <v>11</v>
      </c>
      <c r="AD7" s="1">
        <v>1</v>
      </c>
      <c r="AE7" s="1">
        <v>1</v>
      </c>
      <c r="AF7" s="1">
        <v>9</v>
      </c>
      <c r="AG7" s="1">
        <v>81</v>
      </c>
      <c r="AH7" s="1">
        <v>94</v>
      </c>
      <c r="AI7" s="1">
        <v>12</v>
      </c>
      <c r="AJ7" t="str">
        <f t="shared" si="0"/>
        <v>true</v>
      </c>
    </row>
    <row r="8" spans="1:36" x14ac:dyDescent="0.2">
      <c r="A8" t="s">
        <v>41</v>
      </c>
      <c r="B8" s="2">
        <v>2</v>
      </c>
      <c r="C8" s="2">
        <v>20</v>
      </c>
      <c r="D8" s="2">
        <v>4</v>
      </c>
      <c r="E8" s="2">
        <v>4</v>
      </c>
      <c r="F8" s="2">
        <v>25</v>
      </c>
      <c r="G8" s="1">
        <v>29</v>
      </c>
      <c r="H8" s="1">
        <v>0</v>
      </c>
      <c r="I8" s="1">
        <v>6</v>
      </c>
      <c r="J8" s="1">
        <v>1</v>
      </c>
      <c r="K8" s="1">
        <v>131</v>
      </c>
      <c r="L8" s="1">
        <v>32</v>
      </c>
      <c r="M8" s="1">
        <v>0.24</v>
      </c>
      <c r="N8" s="1">
        <v>51</v>
      </c>
      <c r="O8" s="1">
        <v>49</v>
      </c>
      <c r="P8" s="2">
        <v>0</v>
      </c>
      <c r="Q8" s="1">
        <v>92</v>
      </c>
      <c r="R8" s="1">
        <v>74</v>
      </c>
      <c r="S8" s="1">
        <v>5</v>
      </c>
      <c r="T8" s="1">
        <v>5</v>
      </c>
      <c r="U8" s="1">
        <v>933</v>
      </c>
      <c r="V8" s="1">
        <v>404</v>
      </c>
      <c r="W8" s="1">
        <v>529</v>
      </c>
      <c r="X8" s="1">
        <v>5</v>
      </c>
      <c r="Y8" s="1">
        <v>11</v>
      </c>
      <c r="Z8" s="1">
        <v>181</v>
      </c>
      <c r="AA8" s="1">
        <v>11</v>
      </c>
      <c r="AB8" s="1">
        <v>3</v>
      </c>
      <c r="AC8" s="1">
        <v>5</v>
      </c>
      <c r="AD8" s="1">
        <v>3</v>
      </c>
      <c r="AE8" s="1">
        <v>1</v>
      </c>
      <c r="AF8" s="1">
        <v>1</v>
      </c>
      <c r="AG8" s="1">
        <v>91</v>
      </c>
      <c r="AH8" s="1">
        <v>108</v>
      </c>
      <c r="AI8" s="1">
        <v>20</v>
      </c>
      <c r="AJ8" t="str">
        <f t="shared" si="0"/>
        <v>true</v>
      </c>
    </row>
    <row r="9" spans="1:36" x14ac:dyDescent="0.2">
      <c r="A9" t="s">
        <v>42</v>
      </c>
      <c r="B9" s="2">
        <v>2</v>
      </c>
      <c r="C9" s="2">
        <v>13</v>
      </c>
      <c r="D9" s="2">
        <v>2</v>
      </c>
      <c r="E9" s="2">
        <v>2</v>
      </c>
      <c r="F9" s="2">
        <v>17</v>
      </c>
      <c r="G9" s="1">
        <v>73</v>
      </c>
      <c r="H9" s="1">
        <v>0</v>
      </c>
      <c r="I9" s="1">
        <v>1</v>
      </c>
      <c r="J9" s="1">
        <v>6</v>
      </c>
      <c r="K9" s="1">
        <v>306</v>
      </c>
      <c r="L9" s="1">
        <v>50</v>
      </c>
      <c r="M9" s="1">
        <v>0.16</v>
      </c>
      <c r="N9" s="1">
        <v>132</v>
      </c>
      <c r="O9" s="1">
        <v>119</v>
      </c>
      <c r="P9" s="2">
        <v>0</v>
      </c>
      <c r="Q9" s="1">
        <v>172</v>
      </c>
      <c r="R9" s="1">
        <v>141</v>
      </c>
      <c r="S9" s="1">
        <v>23</v>
      </c>
      <c r="T9" s="1">
        <v>23</v>
      </c>
      <c r="U9" s="3">
        <v>2102</v>
      </c>
      <c r="V9" s="1">
        <v>905</v>
      </c>
      <c r="W9" s="3">
        <v>1197</v>
      </c>
      <c r="X9" s="1">
        <v>23</v>
      </c>
      <c r="Y9" s="1">
        <v>24</v>
      </c>
      <c r="Z9" s="1">
        <v>426</v>
      </c>
      <c r="AA9" s="1">
        <v>7</v>
      </c>
      <c r="AB9" s="1">
        <v>3</v>
      </c>
      <c r="AC9" s="1">
        <v>23</v>
      </c>
      <c r="AD9" s="1">
        <v>9</v>
      </c>
      <c r="AE9" s="1">
        <v>7</v>
      </c>
      <c r="AF9" s="1">
        <v>7</v>
      </c>
      <c r="AG9" s="1">
        <v>193</v>
      </c>
      <c r="AH9" s="1">
        <v>235</v>
      </c>
      <c r="AI9" s="1">
        <v>38</v>
      </c>
      <c r="AJ9" t="str">
        <f t="shared" si="0"/>
        <v>true</v>
      </c>
    </row>
    <row r="10" spans="1:36" x14ac:dyDescent="0.2">
      <c r="A10" t="s">
        <v>43</v>
      </c>
      <c r="B10" s="2">
        <v>1</v>
      </c>
      <c r="C10" s="2">
        <v>10</v>
      </c>
      <c r="D10" s="2">
        <v>1</v>
      </c>
      <c r="E10" s="2">
        <v>1</v>
      </c>
      <c r="F10" s="2">
        <v>11</v>
      </c>
      <c r="G10" s="1">
        <v>23</v>
      </c>
      <c r="H10" s="1">
        <v>6</v>
      </c>
      <c r="I10" s="1">
        <v>6</v>
      </c>
      <c r="J10" s="1">
        <v>4</v>
      </c>
      <c r="K10" s="1">
        <v>123</v>
      </c>
      <c r="L10" s="1">
        <v>8</v>
      </c>
      <c r="M10" s="1">
        <v>7.0000000000000007E-2</v>
      </c>
      <c r="N10" s="1">
        <v>37</v>
      </c>
      <c r="O10" s="1">
        <v>38</v>
      </c>
      <c r="P10" s="2">
        <v>0</v>
      </c>
      <c r="Q10" s="1">
        <v>75</v>
      </c>
      <c r="R10" s="1">
        <v>61</v>
      </c>
      <c r="S10" s="1">
        <v>12</v>
      </c>
      <c r="T10" s="1">
        <v>12</v>
      </c>
      <c r="U10" s="1">
        <v>781</v>
      </c>
      <c r="V10" s="1">
        <v>340</v>
      </c>
      <c r="W10" s="1">
        <v>441</v>
      </c>
      <c r="X10" s="1">
        <v>6</v>
      </c>
      <c r="Y10" s="1">
        <v>26</v>
      </c>
      <c r="Z10" s="1">
        <v>151</v>
      </c>
      <c r="AA10" s="1">
        <v>2</v>
      </c>
      <c r="AB10" s="1">
        <v>1</v>
      </c>
      <c r="AC10" s="1">
        <v>12</v>
      </c>
      <c r="AD10" s="1">
        <v>2</v>
      </c>
      <c r="AE10" s="1">
        <v>1</v>
      </c>
      <c r="AF10" s="1">
        <v>9</v>
      </c>
      <c r="AG10" s="1">
        <v>83</v>
      </c>
      <c r="AH10" s="1">
        <v>97</v>
      </c>
      <c r="AI10" s="1">
        <v>13</v>
      </c>
      <c r="AJ10" t="str">
        <f t="shared" si="0"/>
        <v>true</v>
      </c>
    </row>
    <row r="11" spans="1:36" x14ac:dyDescent="0.2">
      <c r="A11" t="s">
        <v>44</v>
      </c>
      <c r="B11" s="2">
        <v>2</v>
      </c>
      <c r="C11" s="2">
        <v>20</v>
      </c>
      <c r="D11" s="2">
        <v>4</v>
      </c>
      <c r="E11" s="2">
        <v>4</v>
      </c>
      <c r="F11" s="2">
        <v>25</v>
      </c>
      <c r="G11" s="1">
        <v>29</v>
      </c>
      <c r="H11" s="1">
        <v>0</v>
      </c>
      <c r="I11" s="1">
        <v>6</v>
      </c>
      <c r="J11" s="1">
        <v>1</v>
      </c>
      <c r="K11" s="1">
        <v>131</v>
      </c>
      <c r="L11" s="1">
        <v>32</v>
      </c>
      <c r="M11" s="1">
        <v>0.24</v>
      </c>
      <c r="N11" s="1">
        <v>51</v>
      </c>
      <c r="O11" s="1">
        <v>49</v>
      </c>
      <c r="P11" s="2">
        <v>0</v>
      </c>
      <c r="Q11" s="1">
        <v>92</v>
      </c>
      <c r="R11" s="1">
        <v>74</v>
      </c>
      <c r="S11" s="1">
        <v>5</v>
      </c>
      <c r="T11" s="1">
        <v>5</v>
      </c>
      <c r="U11" s="1">
        <v>933</v>
      </c>
      <c r="V11" s="1">
        <v>404</v>
      </c>
      <c r="W11" s="1">
        <v>529</v>
      </c>
      <c r="X11" s="1">
        <v>5</v>
      </c>
      <c r="Y11" s="1">
        <v>11</v>
      </c>
      <c r="Z11" s="1">
        <v>181</v>
      </c>
      <c r="AA11" s="1">
        <v>11</v>
      </c>
      <c r="AB11" s="1">
        <v>3</v>
      </c>
      <c r="AC11" s="1">
        <v>5</v>
      </c>
      <c r="AD11" s="1">
        <v>3</v>
      </c>
      <c r="AE11" s="1">
        <v>1</v>
      </c>
      <c r="AF11" s="1">
        <v>1</v>
      </c>
      <c r="AG11" s="1">
        <v>91</v>
      </c>
      <c r="AH11" s="1">
        <v>108</v>
      </c>
      <c r="AI11" s="1">
        <v>20</v>
      </c>
      <c r="AJ11" t="str">
        <f t="shared" si="0"/>
        <v>true</v>
      </c>
    </row>
    <row r="12" spans="1:36" x14ac:dyDescent="0.2">
      <c r="A12" t="s">
        <v>45</v>
      </c>
      <c r="B12" s="2">
        <v>2</v>
      </c>
      <c r="C12" s="2">
        <v>13</v>
      </c>
      <c r="D12" s="2">
        <v>2</v>
      </c>
      <c r="E12" s="2">
        <v>2</v>
      </c>
      <c r="F12" s="2">
        <v>17</v>
      </c>
      <c r="G12" s="1">
        <v>78</v>
      </c>
      <c r="H12" s="1">
        <v>0</v>
      </c>
      <c r="I12" s="1">
        <v>1</v>
      </c>
      <c r="J12" s="1">
        <v>7</v>
      </c>
      <c r="K12" s="1">
        <v>305</v>
      </c>
      <c r="L12" s="1">
        <v>47</v>
      </c>
      <c r="M12" s="1">
        <v>0.15</v>
      </c>
      <c r="N12" s="1">
        <v>131</v>
      </c>
      <c r="O12" s="1">
        <v>118</v>
      </c>
      <c r="P12" s="2">
        <v>0</v>
      </c>
      <c r="Q12" s="1">
        <v>173</v>
      </c>
      <c r="R12" s="1">
        <v>137</v>
      </c>
      <c r="S12" s="1">
        <v>24</v>
      </c>
      <c r="T12" s="1">
        <v>24</v>
      </c>
      <c r="U12" s="3">
        <v>2108</v>
      </c>
      <c r="V12" s="1">
        <v>909</v>
      </c>
      <c r="W12" s="3">
        <v>1199</v>
      </c>
      <c r="X12" s="1">
        <v>24</v>
      </c>
      <c r="Y12" s="1">
        <v>24</v>
      </c>
      <c r="Z12" s="1">
        <v>427</v>
      </c>
      <c r="AA12" s="1">
        <v>7</v>
      </c>
      <c r="AB12" s="1">
        <v>3</v>
      </c>
      <c r="AC12" s="1">
        <v>24</v>
      </c>
      <c r="AD12" s="1">
        <v>9</v>
      </c>
      <c r="AE12" s="1">
        <v>7</v>
      </c>
      <c r="AF12" s="1">
        <v>8</v>
      </c>
      <c r="AG12" s="1">
        <v>188</v>
      </c>
      <c r="AH12" s="1">
        <v>230</v>
      </c>
      <c r="AI12" s="1">
        <v>38</v>
      </c>
      <c r="AJ12" t="str">
        <f t="shared" si="0"/>
        <v>true</v>
      </c>
    </row>
    <row r="13" spans="1:36" x14ac:dyDescent="0.2">
      <c r="A13" t="s">
        <v>46</v>
      </c>
      <c r="B13" s="2">
        <v>1</v>
      </c>
      <c r="C13" s="2">
        <v>11</v>
      </c>
      <c r="D13" s="2">
        <v>1</v>
      </c>
      <c r="E13" s="2">
        <v>1</v>
      </c>
      <c r="F13" s="2">
        <v>12</v>
      </c>
      <c r="G13" s="1">
        <v>25</v>
      </c>
      <c r="H13" s="1">
        <v>6</v>
      </c>
      <c r="I13" s="1">
        <v>6</v>
      </c>
      <c r="J13" s="1">
        <v>4</v>
      </c>
      <c r="K13" s="1">
        <v>123</v>
      </c>
      <c r="L13" s="1">
        <v>8</v>
      </c>
      <c r="M13" s="1">
        <v>7.0000000000000007E-2</v>
      </c>
      <c r="N13" s="1">
        <v>35</v>
      </c>
      <c r="O13" s="1">
        <v>36</v>
      </c>
      <c r="P13" s="2">
        <v>0</v>
      </c>
      <c r="Q13" s="1">
        <v>77</v>
      </c>
      <c r="R13" s="1">
        <v>62</v>
      </c>
      <c r="S13" s="1">
        <v>11</v>
      </c>
      <c r="T13" s="1">
        <v>11</v>
      </c>
      <c r="U13" s="1">
        <v>773</v>
      </c>
      <c r="V13" s="1">
        <v>336</v>
      </c>
      <c r="W13" s="1">
        <v>437</v>
      </c>
      <c r="X13" s="1">
        <v>5</v>
      </c>
      <c r="Y13" s="1">
        <v>26</v>
      </c>
      <c r="Z13" s="1">
        <v>153</v>
      </c>
      <c r="AA13" s="1">
        <v>2</v>
      </c>
      <c r="AB13" s="1">
        <v>1</v>
      </c>
      <c r="AC13" s="1">
        <v>11</v>
      </c>
      <c r="AD13" s="1">
        <v>1</v>
      </c>
      <c r="AE13" s="1">
        <v>1</v>
      </c>
      <c r="AF13" s="1">
        <v>9</v>
      </c>
      <c r="AG13" s="1">
        <v>82</v>
      </c>
      <c r="AH13" s="1">
        <v>96</v>
      </c>
      <c r="AI13" s="1">
        <v>13</v>
      </c>
      <c r="AJ13" t="str">
        <f t="shared" si="0"/>
        <v>true</v>
      </c>
    </row>
    <row r="14" spans="1:36" x14ac:dyDescent="0.2">
      <c r="A14" t="s">
        <v>47</v>
      </c>
      <c r="B14" s="2">
        <v>3</v>
      </c>
      <c r="C14" s="2">
        <v>18</v>
      </c>
      <c r="D14" s="2">
        <v>3</v>
      </c>
      <c r="E14" s="2">
        <v>2</v>
      </c>
      <c r="F14" s="2">
        <v>23</v>
      </c>
      <c r="G14" s="1">
        <v>88</v>
      </c>
      <c r="H14" s="1">
        <v>1</v>
      </c>
      <c r="I14" s="1">
        <v>3</v>
      </c>
      <c r="J14" s="1">
        <v>6</v>
      </c>
      <c r="K14" s="1">
        <v>423</v>
      </c>
      <c r="L14" s="1">
        <v>91</v>
      </c>
      <c r="M14" s="1">
        <v>0.22</v>
      </c>
      <c r="N14" s="1">
        <v>171</v>
      </c>
      <c r="O14" s="1">
        <v>160</v>
      </c>
      <c r="P14" s="2">
        <v>0</v>
      </c>
      <c r="Q14" s="1">
        <v>260</v>
      </c>
      <c r="R14" s="1">
        <v>209</v>
      </c>
      <c r="S14" s="1">
        <v>24</v>
      </c>
      <c r="T14" s="1">
        <v>24</v>
      </c>
      <c r="U14" s="3">
        <v>2956</v>
      </c>
      <c r="V14" s="3">
        <v>1276</v>
      </c>
      <c r="W14" s="3">
        <v>1680</v>
      </c>
      <c r="X14" s="1">
        <v>23</v>
      </c>
      <c r="Y14" s="1">
        <v>33</v>
      </c>
      <c r="Z14" s="1">
        <v>585</v>
      </c>
      <c r="AA14" s="1">
        <v>10</v>
      </c>
      <c r="AB14" s="1">
        <v>3</v>
      </c>
      <c r="AC14" s="1">
        <v>24</v>
      </c>
      <c r="AD14" s="1">
        <v>6</v>
      </c>
      <c r="AE14" s="1">
        <v>7</v>
      </c>
      <c r="AF14" s="1">
        <v>11</v>
      </c>
      <c r="AG14" s="1">
        <v>277</v>
      </c>
      <c r="AH14" s="1">
        <v>329</v>
      </c>
      <c r="AI14" s="1">
        <v>48</v>
      </c>
      <c r="AJ14" t="str">
        <f t="shared" si="0"/>
        <v>true</v>
      </c>
    </row>
    <row r="15" spans="1:36" x14ac:dyDescent="0.2">
      <c r="A15" t="s">
        <v>48</v>
      </c>
      <c r="B15" s="2">
        <v>3</v>
      </c>
      <c r="C15" s="2">
        <v>18</v>
      </c>
      <c r="D15" s="2">
        <v>3</v>
      </c>
      <c r="E15" s="2">
        <v>2</v>
      </c>
      <c r="F15" s="2">
        <v>23</v>
      </c>
      <c r="G15" s="1">
        <v>90</v>
      </c>
      <c r="H15" s="1">
        <v>1</v>
      </c>
      <c r="I15" s="1">
        <v>3</v>
      </c>
      <c r="J15" s="1">
        <v>6</v>
      </c>
      <c r="K15" s="1">
        <v>425</v>
      </c>
      <c r="L15" s="1">
        <v>74</v>
      </c>
      <c r="M15" s="1">
        <v>0.17</v>
      </c>
      <c r="N15" s="1">
        <v>172</v>
      </c>
      <c r="O15" s="1">
        <v>161</v>
      </c>
      <c r="P15" s="2">
        <v>0</v>
      </c>
      <c r="Q15" s="1">
        <v>261</v>
      </c>
      <c r="R15" s="1">
        <v>211</v>
      </c>
      <c r="S15" s="1">
        <v>24</v>
      </c>
      <c r="T15" s="1">
        <v>24</v>
      </c>
      <c r="U15" s="3">
        <v>2977</v>
      </c>
      <c r="V15" s="3">
        <v>1287</v>
      </c>
      <c r="W15" s="3">
        <v>1690</v>
      </c>
      <c r="X15" s="1">
        <v>23</v>
      </c>
      <c r="Y15" s="1">
        <v>33</v>
      </c>
      <c r="Z15" s="1">
        <v>572</v>
      </c>
      <c r="AA15" s="1">
        <v>10</v>
      </c>
      <c r="AB15" s="1">
        <v>3</v>
      </c>
      <c r="AC15" s="1">
        <v>24</v>
      </c>
      <c r="AD15" s="1">
        <v>6</v>
      </c>
      <c r="AE15" s="1">
        <v>7</v>
      </c>
      <c r="AF15" s="1">
        <v>11</v>
      </c>
      <c r="AG15" s="1">
        <v>280</v>
      </c>
      <c r="AH15" s="1">
        <v>332</v>
      </c>
      <c r="AI15" s="1">
        <v>48</v>
      </c>
      <c r="AJ15" t="str">
        <f t="shared" si="0"/>
        <v>true</v>
      </c>
    </row>
    <row r="16" spans="1:36" x14ac:dyDescent="0.2">
      <c r="A16" t="s">
        <v>49</v>
      </c>
      <c r="B16" s="2">
        <v>3</v>
      </c>
      <c r="C16" s="2">
        <v>18</v>
      </c>
      <c r="D16" s="2">
        <v>3</v>
      </c>
      <c r="E16" s="2">
        <v>2</v>
      </c>
      <c r="F16" s="2">
        <v>23</v>
      </c>
      <c r="G16" s="1">
        <v>88</v>
      </c>
      <c r="H16" s="1">
        <v>1</v>
      </c>
      <c r="I16" s="1">
        <v>3</v>
      </c>
      <c r="J16" s="1">
        <v>6</v>
      </c>
      <c r="K16" s="1">
        <v>424</v>
      </c>
      <c r="L16" s="1">
        <v>88</v>
      </c>
      <c r="M16" s="1">
        <v>0.21</v>
      </c>
      <c r="N16" s="1">
        <v>171</v>
      </c>
      <c r="O16" s="1">
        <v>160</v>
      </c>
      <c r="P16" s="2">
        <v>0</v>
      </c>
      <c r="Q16" s="1">
        <v>261</v>
      </c>
      <c r="R16" s="1">
        <v>211</v>
      </c>
      <c r="S16" s="1">
        <v>24</v>
      </c>
      <c r="T16" s="1">
        <v>24</v>
      </c>
      <c r="U16" s="3">
        <v>2974</v>
      </c>
      <c r="V16" s="3">
        <v>1285</v>
      </c>
      <c r="W16" s="3">
        <v>1689</v>
      </c>
      <c r="X16" s="1">
        <v>23</v>
      </c>
      <c r="Y16" s="1">
        <v>33</v>
      </c>
      <c r="Z16" s="1">
        <v>583</v>
      </c>
      <c r="AA16" s="1">
        <v>10</v>
      </c>
      <c r="AB16" s="1">
        <v>3</v>
      </c>
      <c r="AC16" s="1">
        <v>24</v>
      </c>
      <c r="AD16" s="1">
        <v>6</v>
      </c>
      <c r="AE16" s="1">
        <v>7</v>
      </c>
      <c r="AF16" s="1">
        <v>11</v>
      </c>
      <c r="AG16" s="1">
        <v>279</v>
      </c>
      <c r="AH16" s="1">
        <v>331</v>
      </c>
      <c r="AI16" s="1">
        <v>48</v>
      </c>
      <c r="AJ16" t="str">
        <f t="shared" si="0"/>
        <v>true</v>
      </c>
    </row>
    <row r="17" spans="1:36" x14ac:dyDescent="0.2">
      <c r="A17" t="s">
        <v>50</v>
      </c>
      <c r="B17" s="2">
        <v>2</v>
      </c>
      <c r="C17" s="2">
        <v>18</v>
      </c>
      <c r="D17" s="2">
        <v>3</v>
      </c>
      <c r="E17" s="2">
        <v>2</v>
      </c>
      <c r="F17" s="2">
        <v>23</v>
      </c>
      <c r="G17" s="1">
        <v>89</v>
      </c>
      <c r="H17" s="1">
        <v>1</v>
      </c>
      <c r="I17" s="1">
        <v>3</v>
      </c>
      <c r="J17" s="1">
        <v>6</v>
      </c>
      <c r="K17" s="1">
        <v>425</v>
      </c>
      <c r="L17" s="1">
        <v>88</v>
      </c>
      <c r="M17" s="1">
        <v>0.21</v>
      </c>
      <c r="N17" s="1">
        <v>171</v>
      </c>
      <c r="O17" s="1">
        <v>160</v>
      </c>
      <c r="P17" s="2">
        <v>0</v>
      </c>
      <c r="Q17" s="1">
        <v>262</v>
      </c>
      <c r="R17" s="1">
        <v>212</v>
      </c>
      <c r="S17" s="1">
        <v>24</v>
      </c>
      <c r="T17" s="1">
        <v>24</v>
      </c>
      <c r="U17" s="3">
        <v>2977</v>
      </c>
      <c r="V17" s="3">
        <v>1286</v>
      </c>
      <c r="W17" s="3">
        <v>1691</v>
      </c>
      <c r="X17" s="1">
        <v>23</v>
      </c>
      <c r="Y17" s="1">
        <v>33</v>
      </c>
      <c r="Z17" s="1">
        <v>585</v>
      </c>
      <c r="AA17" s="1">
        <v>10</v>
      </c>
      <c r="AB17" s="1">
        <v>3</v>
      </c>
      <c r="AC17" s="1">
        <v>24</v>
      </c>
      <c r="AD17" s="1">
        <v>6</v>
      </c>
      <c r="AE17" s="1">
        <v>7</v>
      </c>
      <c r="AF17" s="1">
        <v>11</v>
      </c>
      <c r="AG17" s="1">
        <v>280</v>
      </c>
      <c r="AH17" s="1">
        <v>332</v>
      </c>
      <c r="AI17" s="1">
        <v>48</v>
      </c>
      <c r="AJ17" t="str">
        <f t="shared" si="0"/>
        <v>true</v>
      </c>
    </row>
    <row r="18" spans="1:36" x14ac:dyDescent="0.2">
      <c r="A18" t="s">
        <v>51</v>
      </c>
      <c r="B18" s="2">
        <v>2</v>
      </c>
      <c r="C18" s="2">
        <v>18</v>
      </c>
      <c r="D18" s="2">
        <v>3</v>
      </c>
      <c r="E18" s="2">
        <v>2</v>
      </c>
      <c r="F18" s="2">
        <v>23</v>
      </c>
      <c r="G18" s="1">
        <v>87</v>
      </c>
      <c r="H18" s="1">
        <v>1</v>
      </c>
      <c r="I18" s="1">
        <v>3</v>
      </c>
      <c r="J18" s="1">
        <v>6</v>
      </c>
      <c r="K18" s="1">
        <v>424</v>
      </c>
      <c r="L18" s="1">
        <v>87</v>
      </c>
      <c r="M18" s="1">
        <v>0.21</v>
      </c>
      <c r="N18" s="1">
        <v>171</v>
      </c>
      <c r="O18" s="1">
        <v>160</v>
      </c>
      <c r="P18" s="2">
        <v>0</v>
      </c>
      <c r="Q18" s="1">
        <v>261</v>
      </c>
      <c r="R18" s="1">
        <v>211</v>
      </c>
      <c r="S18" s="1">
        <v>24</v>
      </c>
      <c r="T18" s="1">
        <v>24</v>
      </c>
      <c r="U18" s="3">
        <v>2974</v>
      </c>
      <c r="V18" s="3">
        <v>1285</v>
      </c>
      <c r="W18" s="3">
        <v>1689</v>
      </c>
      <c r="X18" s="1">
        <v>23</v>
      </c>
      <c r="Y18" s="1">
        <v>33</v>
      </c>
      <c r="Z18" s="1">
        <v>581</v>
      </c>
      <c r="AA18" s="1">
        <v>10</v>
      </c>
      <c r="AB18" s="1">
        <v>3</v>
      </c>
      <c r="AC18" s="1">
        <v>24</v>
      </c>
      <c r="AD18" s="1">
        <v>6</v>
      </c>
      <c r="AE18" s="1">
        <v>7</v>
      </c>
      <c r="AF18" s="1">
        <v>11</v>
      </c>
      <c r="AG18" s="1">
        <v>279</v>
      </c>
      <c r="AH18" s="1">
        <v>331</v>
      </c>
      <c r="AI18" s="1">
        <v>48</v>
      </c>
      <c r="AJ18" t="str">
        <f t="shared" si="0"/>
        <v>true</v>
      </c>
    </row>
    <row r="19" spans="1:36" x14ac:dyDescent="0.2">
      <c r="A19" t="s">
        <v>52</v>
      </c>
      <c r="B19" s="2">
        <v>6</v>
      </c>
      <c r="C19" s="2">
        <v>19</v>
      </c>
      <c r="D19" s="2">
        <v>1</v>
      </c>
      <c r="E19" s="2">
        <v>4</v>
      </c>
      <c r="F19" s="2">
        <v>26</v>
      </c>
      <c r="G19" s="1">
        <v>32</v>
      </c>
      <c r="H19" s="1">
        <v>0</v>
      </c>
      <c r="I19" s="1">
        <v>4</v>
      </c>
      <c r="J19" s="1">
        <v>1</v>
      </c>
      <c r="K19" s="1">
        <v>91</v>
      </c>
      <c r="L19" s="1">
        <v>3</v>
      </c>
      <c r="M19" s="1">
        <v>0.03</v>
      </c>
      <c r="N19" s="1">
        <v>45</v>
      </c>
      <c r="O19" s="1">
        <v>42</v>
      </c>
      <c r="P19" s="2">
        <v>0</v>
      </c>
      <c r="Q19" s="1">
        <v>52</v>
      </c>
      <c r="R19" s="1">
        <v>46</v>
      </c>
      <c r="S19" s="1">
        <v>3</v>
      </c>
      <c r="T19" s="1">
        <v>3</v>
      </c>
      <c r="U19" s="1">
        <v>665</v>
      </c>
      <c r="V19" s="1">
        <v>271</v>
      </c>
      <c r="W19" s="1">
        <v>394</v>
      </c>
      <c r="X19" s="1">
        <v>3</v>
      </c>
      <c r="Y19" s="1">
        <v>10</v>
      </c>
      <c r="Z19" s="1">
        <v>126</v>
      </c>
      <c r="AA19" s="1">
        <v>10</v>
      </c>
      <c r="AB19" s="1">
        <v>1</v>
      </c>
      <c r="AC19" s="1">
        <v>3</v>
      </c>
      <c r="AD19" s="1">
        <v>1</v>
      </c>
      <c r="AE19" s="1">
        <v>1</v>
      </c>
      <c r="AF19" s="1">
        <v>1</v>
      </c>
      <c r="AG19" s="1">
        <v>69</v>
      </c>
      <c r="AH19" s="1">
        <v>82</v>
      </c>
      <c r="AI19" s="1">
        <v>12</v>
      </c>
      <c r="AJ19" t="str">
        <f t="shared" si="0"/>
        <v>true</v>
      </c>
    </row>
    <row r="20" spans="1:36" x14ac:dyDescent="0.2">
      <c r="A20" t="s">
        <v>53</v>
      </c>
      <c r="B20" s="2">
        <v>2</v>
      </c>
      <c r="C20" s="2">
        <v>20</v>
      </c>
      <c r="D20" s="2">
        <v>4</v>
      </c>
      <c r="E20" s="2">
        <v>4</v>
      </c>
      <c r="F20" s="2">
        <v>25</v>
      </c>
      <c r="G20" s="1">
        <v>29</v>
      </c>
      <c r="H20" s="1">
        <v>0</v>
      </c>
      <c r="I20" s="1">
        <v>6</v>
      </c>
      <c r="J20" s="1">
        <v>1</v>
      </c>
      <c r="K20" s="1">
        <v>132</v>
      </c>
      <c r="L20" s="1">
        <v>32</v>
      </c>
      <c r="M20" s="1">
        <v>0.24</v>
      </c>
      <c r="N20" s="1">
        <v>52</v>
      </c>
      <c r="O20" s="1">
        <v>50</v>
      </c>
      <c r="P20" s="2">
        <v>0</v>
      </c>
      <c r="Q20" s="1">
        <v>93</v>
      </c>
      <c r="R20" s="1">
        <v>75</v>
      </c>
      <c r="S20" s="1">
        <v>5</v>
      </c>
      <c r="T20" s="1">
        <v>5</v>
      </c>
      <c r="U20" s="1">
        <v>943</v>
      </c>
      <c r="V20" s="1">
        <v>407</v>
      </c>
      <c r="W20" s="1">
        <v>536</v>
      </c>
      <c r="X20" s="1">
        <v>5</v>
      </c>
      <c r="Y20" s="1">
        <v>12</v>
      </c>
      <c r="Z20" s="1">
        <v>182</v>
      </c>
      <c r="AA20" s="1">
        <v>11</v>
      </c>
      <c r="AB20" s="1">
        <v>3</v>
      </c>
      <c r="AC20" s="1">
        <v>5</v>
      </c>
      <c r="AD20" s="1">
        <v>3</v>
      </c>
      <c r="AE20" s="1">
        <v>1</v>
      </c>
      <c r="AF20" s="1">
        <v>1</v>
      </c>
      <c r="AG20" s="1">
        <v>92</v>
      </c>
      <c r="AH20" s="1">
        <v>109</v>
      </c>
      <c r="AI20" s="1">
        <v>20</v>
      </c>
      <c r="AJ20" t="str">
        <f t="shared" si="0"/>
        <v>true</v>
      </c>
    </row>
    <row r="21" spans="1:36" x14ac:dyDescent="0.2">
      <c r="A21" t="s">
        <v>54</v>
      </c>
      <c r="B21" s="2">
        <v>3</v>
      </c>
      <c r="C21" s="2">
        <v>20</v>
      </c>
      <c r="D21" s="2">
        <v>4</v>
      </c>
      <c r="E21" s="2">
        <v>4</v>
      </c>
      <c r="F21" s="2">
        <v>26</v>
      </c>
      <c r="G21" s="1">
        <v>36</v>
      </c>
      <c r="H21" s="1">
        <v>0</v>
      </c>
      <c r="I21" s="1">
        <v>6</v>
      </c>
      <c r="J21" s="1">
        <v>1</v>
      </c>
      <c r="K21" s="1">
        <v>134</v>
      </c>
      <c r="L21" s="1">
        <v>38</v>
      </c>
      <c r="M21" s="1">
        <v>0.28000000000000003</v>
      </c>
      <c r="N21" s="1">
        <v>52</v>
      </c>
      <c r="O21" s="1">
        <v>50</v>
      </c>
      <c r="P21" s="2">
        <v>0</v>
      </c>
      <c r="Q21" s="1">
        <v>95</v>
      </c>
      <c r="R21" s="1">
        <v>77</v>
      </c>
      <c r="S21" s="1">
        <v>5</v>
      </c>
      <c r="T21" s="1">
        <v>5</v>
      </c>
      <c r="U21" s="1">
        <v>964</v>
      </c>
      <c r="V21" s="1">
        <v>416</v>
      </c>
      <c r="W21" s="1">
        <v>548</v>
      </c>
      <c r="X21" s="1">
        <v>5</v>
      </c>
      <c r="Y21" s="1">
        <v>12</v>
      </c>
      <c r="Z21" s="1">
        <v>196</v>
      </c>
      <c r="AA21" s="1">
        <v>11</v>
      </c>
      <c r="AB21" s="1">
        <v>3</v>
      </c>
      <c r="AC21" s="1">
        <v>5</v>
      </c>
      <c r="AD21" s="1">
        <v>3</v>
      </c>
      <c r="AE21" s="1">
        <v>1</v>
      </c>
      <c r="AF21" s="1">
        <v>1</v>
      </c>
      <c r="AG21" s="1">
        <v>93</v>
      </c>
      <c r="AH21" s="1">
        <v>111</v>
      </c>
      <c r="AI21" s="1">
        <v>21</v>
      </c>
      <c r="AJ21" t="str">
        <f t="shared" si="0"/>
        <v>true</v>
      </c>
    </row>
    <row r="22" spans="1:36" x14ac:dyDescent="0.2">
      <c r="A22" t="s">
        <v>55</v>
      </c>
      <c r="B22" s="2">
        <v>3</v>
      </c>
      <c r="C22" s="2">
        <v>18</v>
      </c>
      <c r="D22" s="2">
        <v>0</v>
      </c>
      <c r="E22" s="2">
        <v>1</v>
      </c>
      <c r="F22" s="2">
        <v>21</v>
      </c>
      <c r="G22" s="1">
        <v>6</v>
      </c>
      <c r="H22" s="1">
        <v>0</v>
      </c>
      <c r="I22" s="1">
        <v>0</v>
      </c>
      <c r="J22" s="1">
        <v>1</v>
      </c>
      <c r="K22" s="1">
        <v>23</v>
      </c>
      <c r="L22" s="1">
        <v>0</v>
      </c>
      <c r="M22" s="1">
        <v>0</v>
      </c>
      <c r="N22" s="1">
        <v>10</v>
      </c>
      <c r="O22" s="1">
        <v>4</v>
      </c>
      <c r="P22" s="2">
        <v>0</v>
      </c>
      <c r="Q22" s="1">
        <v>11</v>
      </c>
      <c r="R22" s="1">
        <v>11</v>
      </c>
      <c r="S22" s="1">
        <v>1</v>
      </c>
      <c r="T22" s="1">
        <v>1</v>
      </c>
      <c r="U22" s="1">
        <v>137</v>
      </c>
      <c r="V22" s="1">
        <v>61</v>
      </c>
      <c r="W22" s="1">
        <v>76</v>
      </c>
      <c r="X22" s="1">
        <v>1</v>
      </c>
      <c r="Y22" s="1">
        <v>11</v>
      </c>
      <c r="Z22" s="1">
        <v>29</v>
      </c>
      <c r="AA22" s="1">
        <v>1</v>
      </c>
      <c r="AB22" s="1">
        <v>0</v>
      </c>
      <c r="AC22" s="1">
        <v>1</v>
      </c>
      <c r="AD22" s="1">
        <v>0</v>
      </c>
      <c r="AE22" s="1">
        <v>0</v>
      </c>
      <c r="AF22" s="1">
        <v>1</v>
      </c>
      <c r="AG22" s="1">
        <v>13</v>
      </c>
      <c r="AH22" s="1">
        <v>15</v>
      </c>
      <c r="AI22" s="1">
        <v>1</v>
      </c>
      <c r="AJ22" t="str">
        <f t="shared" si="0"/>
        <v>true</v>
      </c>
    </row>
    <row r="23" spans="1:36" x14ac:dyDescent="0.2">
      <c r="A23" t="s">
        <v>56</v>
      </c>
      <c r="B23" s="2">
        <v>2</v>
      </c>
      <c r="C23" s="2">
        <v>22</v>
      </c>
      <c r="D23" s="2">
        <v>0</v>
      </c>
      <c r="E23" s="2">
        <v>1</v>
      </c>
      <c r="F23" s="2">
        <v>24</v>
      </c>
      <c r="G23" s="1">
        <v>5</v>
      </c>
      <c r="H23" s="1">
        <v>0</v>
      </c>
      <c r="I23" s="1">
        <v>0</v>
      </c>
      <c r="J23" s="1">
        <v>1</v>
      </c>
      <c r="K23" s="1">
        <v>27</v>
      </c>
      <c r="L23" s="1">
        <v>1</v>
      </c>
      <c r="M23" s="1">
        <v>0.04</v>
      </c>
      <c r="N23" s="1">
        <v>11</v>
      </c>
      <c r="O23" s="1">
        <v>4</v>
      </c>
      <c r="P23" s="2">
        <v>0</v>
      </c>
      <c r="Q23" s="1">
        <v>14</v>
      </c>
      <c r="R23" s="1">
        <v>14</v>
      </c>
      <c r="S23" s="1">
        <v>1</v>
      </c>
      <c r="T23" s="1">
        <v>1</v>
      </c>
      <c r="U23" s="1">
        <v>170</v>
      </c>
      <c r="V23" s="1">
        <v>76</v>
      </c>
      <c r="W23" s="1">
        <v>94</v>
      </c>
      <c r="X23" s="1">
        <v>1</v>
      </c>
      <c r="Y23" s="1">
        <v>14</v>
      </c>
      <c r="Z23" s="1">
        <v>33</v>
      </c>
      <c r="AA23" s="1">
        <v>1</v>
      </c>
      <c r="AB23" s="1">
        <v>0</v>
      </c>
      <c r="AC23" s="1">
        <v>1</v>
      </c>
      <c r="AD23" s="1">
        <v>0</v>
      </c>
      <c r="AE23" s="1">
        <v>0</v>
      </c>
      <c r="AF23" s="1">
        <v>1</v>
      </c>
      <c r="AG23" s="1">
        <v>16</v>
      </c>
      <c r="AH23" s="1">
        <v>18</v>
      </c>
      <c r="AI23" s="1">
        <v>1</v>
      </c>
      <c r="AJ23" t="str">
        <f t="shared" si="0"/>
        <v>true</v>
      </c>
    </row>
    <row r="24" spans="1:36" x14ac:dyDescent="0.2">
      <c r="A24" t="s">
        <v>57</v>
      </c>
      <c r="B24" s="2">
        <v>1</v>
      </c>
      <c r="C24" s="2">
        <v>8</v>
      </c>
      <c r="D24" s="2">
        <v>6</v>
      </c>
      <c r="E24" s="2">
        <v>1</v>
      </c>
      <c r="F24" s="2">
        <v>14</v>
      </c>
      <c r="G24" s="1">
        <v>8</v>
      </c>
      <c r="H24" s="1">
        <v>0</v>
      </c>
      <c r="I24" s="1">
        <v>0</v>
      </c>
      <c r="J24" s="1">
        <v>1</v>
      </c>
      <c r="K24" s="1">
        <v>28</v>
      </c>
      <c r="L24" s="1">
        <v>11</v>
      </c>
      <c r="M24" s="1">
        <v>0.39</v>
      </c>
      <c r="N24" s="1">
        <v>19</v>
      </c>
      <c r="O24" s="1">
        <v>16</v>
      </c>
      <c r="P24" s="2">
        <v>0</v>
      </c>
      <c r="Q24" s="1">
        <v>9</v>
      </c>
      <c r="R24" s="1">
        <v>8</v>
      </c>
      <c r="S24" s="1">
        <v>2</v>
      </c>
      <c r="T24" s="1">
        <v>2</v>
      </c>
      <c r="U24" s="1">
        <v>221</v>
      </c>
      <c r="V24" s="1">
        <v>100</v>
      </c>
      <c r="W24" s="1">
        <v>121</v>
      </c>
      <c r="X24" s="1">
        <v>2</v>
      </c>
      <c r="Y24" s="1">
        <v>1</v>
      </c>
      <c r="Z24" s="1">
        <v>47</v>
      </c>
      <c r="AA24" s="1">
        <v>1</v>
      </c>
      <c r="AB24" s="1">
        <v>0</v>
      </c>
      <c r="AC24" s="1">
        <v>2</v>
      </c>
      <c r="AD24" s="1">
        <v>0</v>
      </c>
      <c r="AE24" s="1">
        <v>1</v>
      </c>
      <c r="AF24" s="1">
        <v>1</v>
      </c>
      <c r="AG24" s="1">
        <v>19</v>
      </c>
      <c r="AH24" s="1">
        <v>22</v>
      </c>
      <c r="AI24" s="1">
        <v>2</v>
      </c>
      <c r="AJ24" t="str">
        <f t="shared" si="0"/>
        <v>true</v>
      </c>
    </row>
    <row r="25" spans="1:36" x14ac:dyDescent="0.2">
      <c r="A25" t="s">
        <v>58</v>
      </c>
      <c r="B25" s="2">
        <v>0</v>
      </c>
      <c r="C25" s="2">
        <v>4</v>
      </c>
      <c r="D25" s="2">
        <v>0</v>
      </c>
      <c r="E25" s="2">
        <v>1</v>
      </c>
      <c r="F25" s="2">
        <v>4</v>
      </c>
      <c r="G25" s="1">
        <v>7</v>
      </c>
      <c r="H25" s="1">
        <v>1</v>
      </c>
      <c r="I25" s="1">
        <v>1</v>
      </c>
      <c r="J25" s="1">
        <v>1</v>
      </c>
      <c r="K25" s="1">
        <v>16</v>
      </c>
      <c r="L25" s="1">
        <v>0</v>
      </c>
      <c r="M25" s="1">
        <v>0</v>
      </c>
      <c r="N25" s="1">
        <v>8</v>
      </c>
      <c r="O25" s="1">
        <v>7</v>
      </c>
      <c r="P25" s="2">
        <v>0</v>
      </c>
      <c r="Q25" s="1">
        <v>4</v>
      </c>
      <c r="R25" s="1">
        <v>4</v>
      </c>
      <c r="S25" s="1">
        <v>3</v>
      </c>
      <c r="T25" s="1">
        <v>3</v>
      </c>
      <c r="U25" s="1">
        <v>66</v>
      </c>
      <c r="V25" s="1">
        <v>24</v>
      </c>
      <c r="W25" s="1">
        <v>42</v>
      </c>
      <c r="X25" s="1">
        <v>2</v>
      </c>
      <c r="Y25" s="1">
        <v>0</v>
      </c>
      <c r="Z25" s="1">
        <v>23</v>
      </c>
      <c r="AA25" s="1">
        <v>1</v>
      </c>
      <c r="AB25" s="1">
        <v>0</v>
      </c>
      <c r="AC25" s="1">
        <v>3</v>
      </c>
      <c r="AD25" s="1">
        <v>0</v>
      </c>
      <c r="AE25" s="1">
        <v>0</v>
      </c>
      <c r="AF25" s="1">
        <v>3</v>
      </c>
      <c r="AG25" s="1">
        <v>7</v>
      </c>
      <c r="AH25" s="1">
        <v>11</v>
      </c>
      <c r="AI25" s="1">
        <v>3</v>
      </c>
      <c r="AJ25" t="str">
        <f t="shared" si="0"/>
        <v>true</v>
      </c>
    </row>
    <row r="26" spans="1:36" x14ac:dyDescent="0.2">
      <c r="A26" t="s">
        <v>59</v>
      </c>
      <c r="B26" s="2">
        <v>1</v>
      </c>
      <c r="C26" s="2">
        <v>3</v>
      </c>
      <c r="D26" s="2">
        <v>0</v>
      </c>
      <c r="E26" s="2">
        <v>1</v>
      </c>
      <c r="F26" s="2">
        <v>4</v>
      </c>
      <c r="G26" s="1">
        <v>11</v>
      </c>
      <c r="H26" s="1">
        <v>0</v>
      </c>
      <c r="I26" s="1">
        <v>0</v>
      </c>
      <c r="J26" s="1">
        <v>1</v>
      </c>
      <c r="K26" s="1">
        <v>31</v>
      </c>
      <c r="L26" s="1">
        <v>0</v>
      </c>
      <c r="M26" s="1">
        <v>0</v>
      </c>
      <c r="N26" s="1">
        <v>23</v>
      </c>
      <c r="O26" s="1">
        <v>18</v>
      </c>
      <c r="P26" s="2">
        <v>0</v>
      </c>
      <c r="Q26" s="1">
        <v>2</v>
      </c>
      <c r="R26" s="1">
        <v>2</v>
      </c>
      <c r="S26" s="1">
        <v>5</v>
      </c>
      <c r="T26" s="1">
        <v>5</v>
      </c>
      <c r="U26" s="1">
        <v>231</v>
      </c>
      <c r="V26" s="1">
        <v>110</v>
      </c>
      <c r="W26" s="1">
        <v>121</v>
      </c>
      <c r="X26" s="1">
        <v>5</v>
      </c>
      <c r="Y26" s="1">
        <v>0</v>
      </c>
      <c r="Z26" s="1">
        <v>42</v>
      </c>
      <c r="AA26" s="1">
        <v>1</v>
      </c>
      <c r="AB26" s="1">
        <v>0</v>
      </c>
      <c r="AC26" s="1">
        <v>5</v>
      </c>
      <c r="AD26" s="1">
        <v>0</v>
      </c>
      <c r="AE26" s="1">
        <v>0</v>
      </c>
      <c r="AF26" s="1">
        <v>5</v>
      </c>
      <c r="AG26" s="1">
        <v>14</v>
      </c>
      <c r="AH26" s="1">
        <v>20</v>
      </c>
      <c r="AI26" s="1">
        <v>5</v>
      </c>
      <c r="AJ26" t="str">
        <f t="shared" si="0"/>
        <v>true</v>
      </c>
    </row>
    <row r="27" spans="1:36" x14ac:dyDescent="0.2">
      <c r="A27" t="s">
        <v>60</v>
      </c>
      <c r="B27" s="2">
        <v>3</v>
      </c>
      <c r="C27" s="2">
        <v>18</v>
      </c>
      <c r="D27" s="2">
        <v>2</v>
      </c>
      <c r="E27" s="2">
        <v>3</v>
      </c>
      <c r="F27" s="2">
        <v>22</v>
      </c>
      <c r="G27" s="1">
        <v>21</v>
      </c>
      <c r="H27" s="1">
        <v>0</v>
      </c>
      <c r="I27" s="1">
        <v>0</v>
      </c>
      <c r="J27" s="1">
        <v>1</v>
      </c>
      <c r="K27" s="1">
        <v>105</v>
      </c>
      <c r="L27" s="1">
        <v>13</v>
      </c>
      <c r="M27" s="1">
        <v>0.12</v>
      </c>
      <c r="N27" s="1">
        <v>47</v>
      </c>
      <c r="O27" s="1">
        <v>46</v>
      </c>
      <c r="P27" s="2">
        <v>0</v>
      </c>
      <c r="Q27" s="1">
        <v>63</v>
      </c>
      <c r="R27" s="1">
        <v>56</v>
      </c>
      <c r="S27" s="1">
        <v>5</v>
      </c>
      <c r="T27" s="1">
        <v>5</v>
      </c>
      <c r="U27" s="1">
        <v>664</v>
      </c>
      <c r="V27" s="1">
        <v>287</v>
      </c>
      <c r="W27" s="1">
        <v>377</v>
      </c>
      <c r="X27" s="1">
        <v>5</v>
      </c>
      <c r="Y27" s="1">
        <v>0</v>
      </c>
      <c r="Z27" s="1">
        <v>139</v>
      </c>
      <c r="AA27" s="1">
        <v>4</v>
      </c>
      <c r="AB27" s="1">
        <v>3</v>
      </c>
      <c r="AC27" s="1">
        <v>5</v>
      </c>
      <c r="AD27" s="1">
        <v>1</v>
      </c>
      <c r="AE27" s="1">
        <v>0</v>
      </c>
      <c r="AF27" s="1">
        <v>4</v>
      </c>
      <c r="AG27" s="1">
        <v>65</v>
      </c>
      <c r="AH27" s="1">
        <v>83</v>
      </c>
      <c r="AI27" s="1">
        <v>16</v>
      </c>
      <c r="AJ27" t="str">
        <f t="shared" si="0"/>
        <v>true</v>
      </c>
    </row>
    <row r="28" spans="1:36" x14ac:dyDescent="0.2">
      <c r="A28" t="s">
        <v>61</v>
      </c>
      <c r="B28" s="2">
        <v>5</v>
      </c>
      <c r="C28" s="2">
        <v>22</v>
      </c>
      <c r="D28" s="2">
        <v>1</v>
      </c>
      <c r="E28" s="2">
        <v>4</v>
      </c>
      <c r="F28" s="2">
        <v>28</v>
      </c>
      <c r="G28" s="1">
        <v>21</v>
      </c>
      <c r="H28" s="1">
        <v>0</v>
      </c>
      <c r="I28" s="1">
        <v>0</v>
      </c>
      <c r="J28" s="1">
        <v>2</v>
      </c>
      <c r="K28" s="1">
        <v>82</v>
      </c>
      <c r="L28" s="1">
        <v>3</v>
      </c>
      <c r="M28" s="1">
        <v>0.04</v>
      </c>
      <c r="N28" s="1">
        <v>31</v>
      </c>
      <c r="O28" s="1">
        <v>29</v>
      </c>
      <c r="P28" s="2">
        <v>0</v>
      </c>
      <c r="Q28" s="1">
        <v>52</v>
      </c>
      <c r="R28" s="1">
        <v>47</v>
      </c>
      <c r="S28" s="1">
        <v>3</v>
      </c>
      <c r="T28" s="1">
        <v>3</v>
      </c>
      <c r="U28" s="1">
        <v>612</v>
      </c>
      <c r="V28" s="1">
        <v>248</v>
      </c>
      <c r="W28" s="1">
        <v>364</v>
      </c>
      <c r="X28" s="1">
        <v>3</v>
      </c>
      <c r="Y28" s="1">
        <v>5</v>
      </c>
      <c r="Z28" s="1">
        <v>105</v>
      </c>
      <c r="AA28" s="1">
        <v>10</v>
      </c>
      <c r="AB28" s="1">
        <v>1</v>
      </c>
      <c r="AC28" s="1">
        <v>3</v>
      </c>
      <c r="AD28" s="1">
        <v>0</v>
      </c>
      <c r="AE28" s="1">
        <v>1</v>
      </c>
      <c r="AF28" s="1">
        <v>2</v>
      </c>
      <c r="AG28" s="1">
        <v>58</v>
      </c>
      <c r="AH28" s="1">
        <v>71</v>
      </c>
      <c r="AI28" s="1">
        <v>12</v>
      </c>
      <c r="AJ28" t="str">
        <f t="shared" si="0"/>
        <v>true</v>
      </c>
    </row>
    <row r="29" spans="1:36" x14ac:dyDescent="0.2">
      <c r="A29" t="s">
        <v>62</v>
      </c>
      <c r="B29" s="2">
        <v>1</v>
      </c>
      <c r="C29" s="2">
        <v>7</v>
      </c>
      <c r="D29" s="2">
        <v>2</v>
      </c>
      <c r="E29" s="2">
        <v>1</v>
      </c>
      <c r="F29" s="2">
        <v>10</v>
      </c>
      <c r="G29" s="1">
        <v>20</v>
      </c>
      <c r="H29" s="1">
        <v>0</v>
      </c>
      <c r="I29" s="1">
        <v>1</v>
      </c>
      <c r="J29" s="1">
        <v>2</v>
      </c>
      <c r="K29" s="1">
        <v>67</v>
      </c>
      <c r="L29" s="1">
        <v>12</v>
      </c>
      <c r="M29" s="1">
        <v>0.18</v>
      </c>
      <c r="N29" s="1">
        <v>29</v>
      </c>
      <c r="O29" s="1">
        <v>26</v>
      </c>
      <c r="P29" s="2">
        <v>0</v>
      </c>
      <c r="Q29" s="1">
        <v>34</v>
      </c>
      <c r="R29" s="1">
        <v>20</v>
      </c>
      <c r="S29" s="1">
        <v>8</v>
      </c>
      <c r="T29" s="1">
        <v>8</v>
      </c>
      <c r="U29" s="1">
        <v>366</v>
      </c>
      <c r="V29" s="1">
        <v>144</v>
      </c>
      <c r="W29" s="1">
        <v>222</v>
      </c>
      <c r="X29" s="1">
        <v>8</v>
      </c>
      <c r="Y29" s="1">
        <v>0</v>
      </c>
      <c r="Z29" s="1">
        <v>99</v>
      </c>
      <c r="AA29" s="1">
        <v>2</v>
      </c>
      <c r="AB29" s="1">
        <v>1</v>
      </c>
      <c r="AC29" s="1">
        <v>8</v>
      </c>
      <c r="AD29" s="1">
        <v>2</v>
      </c>
      <c r="AE29" s="1">
        <v>2</v>
      </c>
      <c r="AF29" s="1">
        <v>4</v>
      </c>
      <c r="AG29" s="1">
        <v>34</v>
      </c>
      <c r="AH29" s="1">
        <v>44</v>
      </c>
      <c r="AI29" s="1">
        <v>9</v>
      </c>
      <c r="AJ29" t="str">
        <f t="shared" si="0"/>
        <v>true</v>
      </c>
    </row>
    <row r="30" spans="1:36" x14ac:dyDescent="0.2">
      <c r="A30" t="s">
        <v>63</v>
      </c>
      <c r="B30" s="2">
        <v>3</v>
      </c>
      <c r="C30" s="2">
        <v>10</v>
      </c>
      <c r="D30" s="2">
        <v>5</v>
      </c>
      <c r="E30" s="2">
        <v>1</v>
      </c>
      <c r="F30" s="2">
        <v>18</v>
      </c>
      <c r="G30" s="1">
        <v>10</v>
      </c>
      <c r="H30" s="1">
        <v>0</v>
      </c>
      <c r="I30" s="1">
        <v>1</v>
      </c>
      <c r="J30" s="1">
        <v>2</v>
      </c>
      <c r="K30" s="1">
        <v>23</v>
      </c>
      <c r="L30" s="1">
        <v>7</v>
      </c>
      <c r="M30" s="1">
        <v>0.3</v>
      </c>
      <c r="N30" s="1">
        <v>11</v>
      </c>
      <c r="O30" s="1">
        <v>11</v>
      </c>
      <c r="P30" s="2">
        <v>0</v>
      </c>
      <c r="Q30" s="1">
        <v>11</v>
      </c>
      <c r="R30" s="1">
        <v>6</v>
      </c>
      <c r="S30" s="1">
        <v>2</v>
      </c>
      <c r="T30" s="1">
        <v>2</v>
      </c>
      <c r="U30" s="1">
        <v>124</v>
      </c>
      <c r="V30" s="1">
        <v>48</v>
      </c>
      <c r="W30" s="1">
        <v>76</v>
      </c>
      <c r="X30" s="1">
        <v>2</v>
      </c>
      <c r="Y30" s="1">
        <v>0</v>
      </c>
      <c r="Z30" s="1">
        <v>40</v>
      </c>
      <c r="AA30" s="1">
        <v>1</v>
      </c>
      <c r="AB30" s="1">
        <v>0</v>
      </c>
      <c r="AC30" s="1">
        <v>2</v>
      </c>
      <c r="AD30" s="1">
        <v>0</v>
      </c>
      <c r="AE30" s="1">
        <v>1</v>
      </c>
      <c r="AF30" s="1">
        <v>1</v>
      </c>
      <c r="AG30" s="1">
        <v>13</v>
      </c>
      <c r="AH30" s="1">
        <v>16</v>
      </c>
      <c r="AI30" s="1">
        <v>2</v>
      </c>
      <c r="AJ30" t="str">
        <f t="shared" si="0"/>
        <v>true</v>
      </c>
    </row>
    <row r="31" spans="1:36" x14ac:dyDescent="0.2">
      <c r="A31" t="s">
        <v>64</v>
      </c>
      <c r="B31" s="2">
        <v>2</v>
      </c>
      <c r="C31" s="2">
        <v>17</v>
      </c>
      <c r="D31" s="2">
        <v>3</v>
      </c>
      <c r="E31" s="2">
        <v>2</v>
      </c>
      <c r="F31" s="2">
        <v>22</v>
      </c>
      <c r="G31" s="1">
        <v>91</v>
      </c>
      <c r="H31" s="1">
        <v>1</v>
      </c>
      <c r="I31" s="1">
        <v>3</v>
      </c>
      <c r="J31" s="1">
        <v>6</v>
      </c>
      <c r="K31" s="1">
        <v>436</v>
      </c>
      <c r="L31" s="1">
        <v>88</v>
      </c>
      <c r="M31" s="1">
        <v>0.2</v>
      </c>
      <c r="N31" s="1">
        <v>176</v>
      </c>
      <c r="O31" s="1">
        <v>164</v>
      </c>
      <c r="P31" s="2">
        <v>0</v>
      </c>
      <c r="Q31" s="1">
        <v>267</v>
      </c>
      <c r="R31" s="1">
        <v>217</v>
      </c>
      <c r="S31" s="1">
        <v>26</v>
      </c>
      <c r="T31" s="1">
        <v>26</v>
      </c>
      <c r="U31" s="3">
        <v>3051</v>
      </c>
      <c r="V31" s="3">
        <v>1321</v>
      </c>
      <c r="W31" s="3">
        <v>1730</v>
      </c>
      <c r="X31" s="1">
        <v>25</v>
      </c>
      <c r="Y31" s="1">
        <v>33</v>
      </c>
      <c r="Z31" s="1">
        <v>597</v>
      </c>
      <c r="AA31" s="1">
        <v>10</v>
      </c>
      <c r="AB31" s="1">
        <v>3</v>
      </c>
      <c r="AC31" s="1">
        <v>26</v>
      </c>
      <c r="AD31" s="1">
        <v>7</v>
      </c>
      <c r="AE31" s="1">
        <v>7</v>
      </c>
      <c r="AF31" s="1">
        <v>12</v>
      </c>
      <c r="AG31" s="1">
        <v>286</v>
      </c>
      <c r="AH31" s="1">
        <v>340</v>
      </c>
      <c r="AI31" s="1">
        <v>50</v>
      </c>
      <c r="AJ31" t="str">
        <f t="shared" si="0"/>
        <v>true</v>
      </c>
    </row>
    <row r="32" spans="1:36" x14ac:dyDescent="0.2">
      <c r="A32" t="s">
        <v>65</v>
      </c>
      <c r="B32" s="2">
        <v>2</v>
      </c>
      <c r="C32" s="2">
        <v>12</v>
      </c>
      <c r="D32" s="2">
        <v>1</v>
      </c>
      <c r="E32" s="2">
        <v>2</v>
      </c>
      <c r="F32" s="2">
        <v>15</v>
      </c>
      <c r="G32" s="1">
        <v>61</v>
      </c>
      <c r="H32" s="1">
        <v>0</v>
      </c>
      <c r="I32" s="1">
        <v>0</v>
      </c>
      <c r="J32" s="1">
        <v>6</v>
      </c>
      <c r="K32" s="1">
        <v>255</v>
      </c>
      <c r="L32" s="1">
        <v>37</v>
      </c>
      <c r="M32" s="1">
        <v>0.15</v>
      </c>
      <c r="N32" s="1">
        <v>115</v>
      </c>
      <c r="O32" s="1">
        <v>105</v>
      </c>
      <c r="P32" s="2">
        <v>0</v>
      </c>
      <c r="Q32" s="1">
        <v>136</v>
      </c>
      <c r="R32" s="1">
        <v>109</v>
      </c>
      <c r="S32" s="1">
        <v>21</v>
      </c>
      <c r="T32" s="1">
        <v>21</v>
      </c>
      <c r="U32" s="3">
        <v>1687</v>
      </c>
      <c r="V32" s="1">
        <v>722</v>
      </c>
      <c r="W32" s="1">
        <v>965</v>
      </c>
      <c r="X32" s="1">
        <v>21</v>
      </c>
      <c r="Y32" s="1">
        <v>23</v>
      </c>
      <c r="Z32" s="1">
        <v>352</v>
      </c>
      <c r="AA32" s="1">
        <v>7</v>
      </c>
      <c r="AB32" s="1">
        <v>3</v>
      </c>
      <c r="AC32" s="1">
        <v>21</v>
      </c>
      <c r="AD32" s="1">
        <v>8</v>
      </c>
      <c r="AE32" s="1">
        <v>7</v>
      </c>
      <c r="AF32" s="1">
        <v>6</v>
      </c>
      <c r="AG32" s="1">
        <v>156</v>
      </c>
      <c r="AH32" s="1">
        <v>193</v>
      </c>
      <c r="AI32" s="1">
        <v>33</v>
      </c>
      <c r="AJ32" t="str">
        <f t="shared" si="0"/>
        <v>true</v>
      </c>
    </row>
    <row r="33" spans="1:36" x14ac:dyDescent="0.2">
      <c r="A33" t="s">
        <v>66</v>
      </c>
      <c r="B33" s="2">
        <v>6</v>
      </c>
      <c r="C33" s="2">
        <v>21</v>
      </c>
      <c r="D33" s="2">
        <v>5</v>
      </c>
      <c r="E33" s="2">
        <v>4</v>
      </c>
      <c r="F33" s="2">
        <v>31</v>
      </c>
      <c r="G33" s="1">
        <v>37</v>
      </c>
      <c r="H33" s="1">
        <v>0</v>
      </c>
      <c r="I33" s="1">
        <v>0</v>
      </c>
      <c r="J33" s="1">
        <v>1</v>
      </c>
      <c r="K33" s="1">
        <v>92</v>
      </c>
      <c r="L33" s="1">
        <v>15</v>
      </c>
      <c r="M33" s="1">
        <v>0.16</v>
      </c>
      <c r="N33" s="1">
        <v>41</v>
      </c>
      <c r="O33" s="1">
        <v>37</v>
      </c>
      <c r="P33" s="2">
        <v>0</v>
      </c>
      <c r="Q33" s="1">
        <v>54</v>
      </c>
      <c r="R33" s="1">
        <v>52</v>
      </c>
      <c r="S33" s="1">
        <v>3</v>
      </c>
      <c r="T33" s="1">
        <v>3</v>
      </c>
      <c r="U33" s="1">
        <v>680</v>
      </c>
      <c r="V33" s="1">
        <v>281</v>
      </c>
      <c r="W33" s="1">
        <v>399</v>
      </c>
      <c r="X33" s="1">
        <v>3</v>
      </c>
      <c r="Y33" s="1">
        <v>16</v>
      </c>
      <c r="Z33" s="1">
        <v>142</v>
      </c>
      <c r="AA33" s="1">
        <v>10</v>
      </c>
      <c r="AB33" s="1">
        <v>1</v>
      </c>
      <c r="AC33" s="1">
        <v>3</v>
      </c>
      <c r="AD33" s="1">
        <v>1</v>
      </c>
      <c r="AE33" s="1">
        <v>1</v>
      </c>
      <c r="AF33" s="1">
        <v>1</v>
      </c>
      <c r="AG33" s="1">
        <v>69</v>
      </c>
      <c r="AH33" s="1">
        <v>82</v>
      </c>
      <c r="AI33" s="1">
        <v>12</v>
      </c>
      <c r="AJ33" t="str">
        <f t="shared" si="0"/>
        <v>true</v>
      </c>
    </row>
    <row r="34" spans="1:36" x14ac:dyDescent="0.2">
      <c r="A34" t="s">
        <v>67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1">
        <v>31</v>
      </c>
      <c r="H34" s="1">
        <v>0</v>
      </c>
      <c r="I34" s="1">
        <v>60</v>
      </c>
      <c r="J34" s="1">
        <v>1</v>
      </c>
      <c r="K34" s="1">
        <v>63</v>
      </c>
      <c r="L34" s="1">
        <v>53</v>
      </c>
      <c r="M34" s="1">
        <v>0.84</v>
      </c>
      <c r="N34" s="1">
        <v>62</v>
      </c>
      <c r="O34" s="1">
        <v>62</v>
      </c>
      <c r="P34" s="2">
        <v>0</v>
      </c>
      <c r="Q34" s="1">
        <v>60</v>
      </c>
      <c r="R34" s="1">
        <v>0</v>
      </c>
      <c r="S34" s="1">
        <v>0</v>
      </c>
      <c r="T34" s="1">
        <v>0</v>
      </c>
      <c r="U34" s="1">
        <v>531</v>
      </c>
      <c r="V34" s="1">
        <v>204</v>
      </c>
      <c r="W34" s="1">
        <v>327</v>
      </c>
      <c r="X34" s="1">
        <v>0</v>
      </c>
      <c r="Y34" s="1">
        <v>0</v>
      </c>
      <c r="Z34" s="1">
        <v>111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61</v>
      </c>
      <c r="AH34" s="1">
        <v>62</v>
      </c>
      <c r="AI34" s="1">
        <v>0</v>
      </c>
      <c r="AJ34" t="str">
        <f t="shared" si="0"/>
        <v>false</v>
      </c>
    </row>
  </sheetData>
  <conditionalFormatting sqref="B1:AJ1">
    <cfRule type="duplicateValues" dxfId="1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filename</vt:lpstr>
      <vt:lpstr>metrics</vt:lpstr>
      <vt:lpstr>dataset</vt:lpstr>
      <vt:lpstr>datasetsimple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akunofis365mac</dc:creator>
  <cp:lastModifiedBy>akunofis365mac</cp:lastModifiedBy>
  <dcterms:created xsi:type="dcterms:W3CDTF">2025-10-22T02:59:44Z</dcterms:created>
  <dcterms:modified xsi:type="dcterms:W3CDTF">2025-10-25T08:30:50Z</dcterms:modified>
</cp:coreProperties>
</file>